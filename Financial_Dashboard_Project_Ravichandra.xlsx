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vya\OneDrive\Desktop\"/>
    </mc:Choice>
  </mc:AlternateContent>
  <xr:revisionPtr revIDLastSave="0" documentId="13_ncr:1_{22D917EF-87F7-4DB3-AC31-DADF4F400599}" xr6:coauthVersionLast="47" xr6:coauthVersionMax="47" xr10:uidLastSave="{00000000-0000-0000-0000-000000000000}"/>
  <bookViews>
    <workbookView xWindow="-12" yWindow="0" windowWidth="23040" windowHeight="12264" activeTab="1" xr2:uid="{2511BA8F-7975-456E-B0A9-B87CF468D557}"/>
  </bookViews>
  <sheets>
    <sheet name="accounting_data(Raw_data)" sheetId="1" r:id="rId1"/>
    <sheet name="Analysis" sheetId="3" r:id="rId2"/>
    <sheet name="Dashboard" sheetId="4" r:id="rId3"/>
  </sheets>
  <definedNames>
    <definedName name="_xlnm.Print_Area" localSheetId="2">Dashboard!$A$1:$N$31</definedName>
  </definedName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V4" i="1" l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3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26" i="1"/>
  <c r="U27" i="1"/>
  <c r="U28" i="1"/>
  <c r="U29" i="1"/>
  <c r="U30" i="1"/>
  <c r="U31" i="1"/>
  <c r="U32" i="1"/>
  <c r="U33" i="1"/>
  <c r="U34" i="1"/>
  <c r="U35" i="1"/>
  <c r="U36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S27" i="1"/>
  <c r="S28" i="1"/>
  <c r="S29" i="1"/>
  <c r="S30" i="1"/>
  <c r="S31" i="1"/>
  <c r="S32" i="1"/>
  <c r="S33" i="1"/>
  <c r="S34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B4" i="3"/>
  <c r="B3" i="3"/>
  <c r="B2" i="3"/>
  <c r="B1" i="3"/>
</calcChain>
</file>

<file path=xl/sharedStrings.xml><?xml version="1.0" encoding="utf-8"?>
<sst xmlns="http://schemas.openxmlformats.org/spreadsheetml/2006/main" count="1099" uniqueCount="49">
  <si>
    <t>Transaction ID</t>
  </si>
  <si>
    <t>Account Type</t>
  </si>
  <si>
    <t>Transaction Amount</t>
  </si>
  <si>
    <t>Cash Flow</t>
  </si>
  <si>
    <t>Net Income</t>
  </si>
  <si>
    <t>Revenue</t>
  </si>
  <si>
    <t>Expenditure</t>
  </si>
  <si>
    <t>Profit Margin</t>
  </si>
  <si>
    <t>Debt-to-Equity Ratio</t>
  </si>
  <si>
    <t>Operating Expenses</t>
  </si>
  <si>
    <t>Gross Profit</t>
  </si>
  <si>
    <t>Processing Time (seconds)</t>
  </si>
  <si>
    <t>Accuracy Score</t>
  </si>
  <si>
    <t>Missing Data Indicator</t>
  </si>
  <si>
    <t>Normalized Transaction Amount</t>
  </si>
  <si>
    <t>Transaction Outcome</t>
  </si>
  <si>
    <t>Asset</t>
  </si>
  <si>
    <t>Expense</t>
  </si>
  <si>
    <t>Liability</t>
  </si>
  <si>
    <t>Column1</t>
  </si>
  <si>
    <t>Total Records</t>
  </si>
  <si>
    <t>Missing Dates</t>
  </si>
  <si>
    <t>Missing Account Types</t>
  </si>
  <si>
    <t>Missing Revenue Values</t>
  </si>
  <si>
    <t>Dates</t>
  </si>
  <si>
    <t>Month</t>
  </si>
  <si>
    <t>Year</t>
  </si>
  <si>
    <t>quarter</t>
  </si>
  <si>
    <t>Row Labels</t>
  </si>
  <si>
    <t>Grand Total</t>
  </si>
  <si>
    <t>2025</t>
  </si>
  <si>
    <t>2026</t>
  </si>
  <si>
    <t>2027</t>
  </si>
  <si>
    <t>Sum of Revenue</t>
  </si>
  <si>
    <t>Sum of Expenditure</t>
  </si>
  <si>
    <t>Sum of Net Income</t>
  </si>
  <si>
    <t>Financial Dashboard - 2025 to 2027</t>
  </si>
  <si>
    <t>💰 Total Revenue: 2,610,989</t>
  </si>
  <si>
    <t>📉 Total Expenditure: 2,026,188</t>
  </si>
  <si>
    <t>📈 Net Income: 2,114,759</t>
  </si>
  <si>
    <t>Bar Chart</t>
  </si>
  <si>
    <t>Status</t>
  </si>
  <si>
    <t>Completed</t>
  </si>
  <si>
    <t>Bar Chart:</t>
  </si>
  <si>
    <t>Line Chart: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</si>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</sst>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/>
    <xf numFmtId="0" fontId="16" fillId="34" borderId="0" xfId="0" applyFont="1" applyFill="1"/>
    <xf numFmtId="0" fontId="16" fillId="33" borderId="0" xfId="0" applyFont="1" applyFill="1"/>
    <xf numFmtId="0" fontId="20" fillId="0" borderId="0" xfId="0" applyFont="1"/>
    <xf numFmtId="0" fontId="16" fillId="35" borderId="0" xfId="0" applyFont="1" applyFill="1"/>
    <xf numFmtId="0" fontId="21" fillId="0" borderId="0" xfId="0" applyFont="1"/>
    <xf numFmtId="0" fontId="0" fillId="0" borderId="10" xfId="0" applyBorder="1" applyAlignment="1">
      <alignment vertical="center" wrapText="1"/>
    </xf>
    <xf numFmtId="0" fontId="0" fillId="0" borderId="10" xfId="0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indent="1"/>
    </xf>
    <xf numFmtId="0" fontId="22" fillId="36" borderId="10" xfId="0" applyFont="1" applyFill="1" applyBorder="1" applyAlignment="1">
      <alignment vertical="center" wrapText="1"/>
    </xf>
    <xf numFmtId="0" fontId="0" fillId="0" borderId="10" xfId="0" applyNumberFormat="1" applyBorder="1"/>
    <xf numFmtId="0" fontId="0" fillId="0" borderId="10" xfId="0" applyBorder="1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[Financial_Dashboard_Project_Ravichandra.xlsx]Analysis!PivotTable1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228696412948382"/>
          <c:y val="6.4814814814814811E-2"/>
          <c:w val="0.52499956255468061"/>
          <c:h val="0.8416746864975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Analysis!$D$2:$D$62</c:f>
              <c:multiLvlStrCache>
                <c:ptCount val="44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Qtr1</c:v>
                  </c:pt>
                  <c:pt idx="12">
                    <c:v>Qtr2</c:v>
                  </c:pt>
                  <c:pt idx="13">
                    <c:v>Qtr3</c:v>
                  </c:pt>
                  <c:pt idx="14">
                    <c:v>Qtr4</c:v>
                  </c:pt>
                  <c:pt idx="15">
                    <c:v>Qtr1</c:v>
                  </c:pt>
                  <c:pt idx="16">
                    <c:v>Qtr2</c:v>
                  </c:pt>
                  <c:pt idx="17">
                    <c:v>Qtr3</c:v>
                  </c:pt>
                  <c:pt idx="18">
                    <c:v>Qtr4</c:v>
                  </c:pt>
                  <c:pt idx="19">
                    <c:v>Qtr1</c:v>
                  </c:pt>
                  <c:pt idx="20">
                    <c:v>Qtr2</c:v>
                  </c:pt>
                  <c:pt idx="21">
                    <c:v>Qtr3</c:v>
                  </c:pt>
                  <c:pt idx="22">
                    <c:v>Qtr1</c:v>
                  </c:pt>
                  <c:pt idx="23">
                    <c:v>Qtr2</c:v>
                  </c:pt>
                  <c:pt idx="24">
                    <c:v>Qtr3</c:v>
                  </c:pt>
                  <c:pt idx="25">
                    <c:v>Qtr4</c:v>
                  </c:pt>
                  <c:pt idx="26">
                    <c:v>Qtr1</c:v>
                  </c:pt>
                  <c:pt idx="27">
                    <c:v>Qtr2</c:v>
                  </c:pt>
                  <c:pt idx="28">
                    <c:v>Qtr3</c:v>
                  </c:pt>
                  <c:pt idx="29">
                    <c:v>Qtr4</c:v>
                  </c:pt>
                  <c:pt idx="30">
                    <c:v>Qtr1</c:v>
                  </c:pt>
                  <c:pt idx="31">
                    <c:v>Qtr2</c:v>
                  </c:pt>
                  <c:pt idx="32">
                    <c:v>Qtr3</c:v>
                  </c:pt>
                  <c:pt idx="33">
                    <c:v>Qtr1</c:v>
                  </c:pt>
                  <c:pt idx="34">
                    <c:v>Qtr2</c:v>
                  </c:pt>
                  <c:pt idx="35">
                    <c:v>Qtr3</c:v>
                  </c:pt>
                  <c:pt idx="36">
                    <c:v>Qtr4</c:v>
                  </c:pt>
                  <c:pt idx="37">
                    <c:v>Qtr1</c:v>
                  </c:pt>
                  <c:pt idx="38">
                    <c:v>Qtr2</c:v>
                  </c:pt>
                  <c:pt idx="39">
                    <c:v>Qtr3</c:v>
                  </c:pt>
                  <c:pt idx="40">
                    <c:v>Qtr4</c:v>
                  </c:pt>
                  <c:pt idx="41">
                    <c:v>Qtr1</c:v>
                  </c:pt>
                  <c:pt idx="42">
                    <c:v>Qtr2</c:v>
                  </c:pt>
                  <c:pt idx="43">
                    <c:v>Qtr3</c:v>
                  </c:pt>
                </c:lvl>
                <c:lvl>
                  <c:pt idx="0">
                    <c:v>2025</c:v>
                  </c:pt>
                  <c:pt idx="4">
                    <c:v>2026</c:v>
                  </c:pt>
                  <c:pt idx="8">
                    <c:v>2027</c:v>
                  </c:pt>
                  <c:pt idx="11">
                    <c:v>2025</c:v>
                  </c:pt>
                  <c:pt idx="15">
                    <c:v>2026</c:v>
                  </c:pt>
                  <c:pt idx="19">
                    <c:v>2027</c:v>
                  </c:pt>
                  <c:pt idx="22">
                    <c:v>2025</c:v>
                  </c:pt>
                  <c:pt idx="26">
                    <c:v>2026</c:v>
                  </c:pt>
                  <c:pt idx="30">
                    <c:v>2027</c:v>
                  </c:pt>
                  <c:pt idx="33">
                    <c:v>2025</c:v>
                  </c:pt>
                  <c:pt idx="37">
                    <c:v>2026</c:v>
                  </c:pt>
                  <c:pt idx="41">
                    <c:v>2027</c:v>
                  </c:pt>
                </c:lvl>
                <c:lvl>
                  <c:pt idx="0">
                    <c:v>Asset</c:v>
                  </c:pt>
                  <c:pt idx="11">
                    <c:v>Expense</c:v>
                  </c:pt>
                  <c:pt idx="22">
                    <c:v>Liability</c:v>
                  </c:pt>
                  <c:pt idx="33">
                    <c:v>Revenue</c:v>
                  </c:pt>
                </c:lvl>
              </c:multiLvlStrCache>
            </c:multiLvlStrRef>
          </c:cat>
          <c:val>
            <c:numRef>
              <c:f>Analysis!$E$2:$E$62</c:f>
              <c:numCache>
                <c:formatCode>General</c:formatCode>
                <c:ptCount val="44"/>
                <c:pt idx="0">
                  <c:v>68224</c:v>
                </c:pt>
                <c:pt idx="1">
                  <c:v>44271</c:v>
                </c:pt>
                <c:pt idx="2">
                  <c:v>58609</c:v>
                </c:pt>
                <c:pt idx="3">
                  <c:v>68328</c:v>
                </c:pt>
                <c:pt idx="4">
                  <c:v>64994</c:v>
                </c:pt>
                <c:pt idx="5">
                  <c:v>63148</c:v>
                </c:pt>
                <c:pt idx="6">
                  <c:v>58969</c:v>
                </c:pt>
                <c:pt idx="7">
                  <c:v>53771</c:v>
                </c:pt>
                <c:pt idx="8">
                  <c:v>56987</c:v>
                </c:pt>
                <c:pt idx="9">
                  <c:v>59025</c:v>
                </c:pt>
                <c:pt idx="10">
                  <c:v>59950</c:v>
                </c:pt>
                <c:pt idx="11">
                  <c:v>56872</c:v>
                </c:pt>
                <c:pt idx="12">
                  <c:v>78421</c:v>
                </c:pt>
                <c:pt idx="13">
                  <c:v>50192</c:v>
                </c:pt>
                <c:pt idx="14">
                  <c:v>67030</c:v>
                </c:pt>
                <c:pt idx="15">
                  <c:v>69023</c:v>
                </c:pt>
                <c:pt idx="16">
                  <c:v>52592</c:v>
                </c:pt>
                <c:pt idx="17">
                  <c:v>74771</c:v>
                </c:pt>
                <c:pt idx="18">
                  <c:v>74301</c:v>
                </c:pt>
                <c:pt idx="19">
                  <c:v>44717</c:v>
                </c:pt>
                <c:pt idx="20">
                  <c:v>52584</c:v>
                </c:pt>
                <c:pt idx="21">
                  <c:v>72502</c:v>
                </c:pt>
                <c:pt idx="22">
                  <c:v>43553</c:v>
                </c:pt>
                <c:pt idx="23">
                  <c:v>66195</c:v>
                </c:pt>
                <c:pt idx="24">
                  <c:v>73894</c:v>
                </c:pt>
                <c:pt idx="25">
                  <c:v>58462</c:v>
                </c:pt>
                <c:pt idx="26">
                  <c:v>51537</c:v>
                </c:pt>
                <c:pt idx="27">
                  <c:v>74395</c:v>
                </c:pt>
                <c:pt idx="28">
                  <c:v>33444</c:v>
                </c:pt>
                <c:pt idx="29">
                  <c:v>63945</c:v>
                </c:pt>
                <c:pt idx="30">
                  <c:v>102420</c:v>
                </c:pt>
                <c:pt idx="31">
                  <c:v>54891</c:v>
                </c:pt>
                <c:pt idx="32">
                  <c:v>41503</c:v>
                </c:pt>
                <c:pt idx="33">
                  <c:v>86437</c:v>
                </c:pt>
                <c:pt idx="34">
                  <c:v>65991</c:v>
                </c:pt>
                <c:pt idx="35">
                  <c:v>53458</c:v>
                </c:pt>
                <c:pt idx="36">
                  <c:v>24759</c:v>
                </c:pt>
                <c:pt idx="37">
                  <c:v>43971</c:v>
                </c:pt>
                <c:pt idx="38">
                  <c:v>58537</c:v>
                </c:pt>
                <c:pt idx="39">
                  <c:v>43193</c:v>
                </c:pt>
                <c:pt idx="40">
                  <c:v>66867</c:v>
                </c:pt>
                <c:pt idx="41">
                  <c:v>55409</c:v>
                </c:pt>
                <c:pt idx="42">
                  <c:v>45992</c:v>
                </c:pt>
                <c:pt idx="43">
                  <c:v>52855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D-4FFA-B213-C8A1EE797CD3}"/>
            </c:ext>
          </c:extLst>
        </c:ser>
        <c:ser>
          <c:idx val="1"/>
          <c:order val="1"/>
          <c:tx>
            <c:strRef>
              <c:f>Analysis!$F$1</c:f>
              <c:strCache>
                <c:ptCount val="1"/>
                <c:pt idx="0">
                  <c:v>Sum of Expenditure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Analysis!$D$2:$D$62</c:f>
              <c:multiLvlStrCache>
                <c:ptCount val="44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Qtr1</c:v>
                  </c:pt>
                  <c:pt idx="12">
                    <c:v>Qtr2</c:v>
                  </c:pt>
                  <c:pt idx="13">
                    <c:v>Qtr3</c:v>
                  </c:pt>
                  <c:pt idx="14">
                    <c:v>Qtr4</c:v>
                  </c:pt>
                  <c:pt idx="15">
                    <c:v>Qtr1</c:v>
                  </c:pt>
                  <c:pt idx="16">
                    <c:v>Qtr2</c:v>
                  </c:pt>
                  <c:pt idx="17">
                    <c:v>Qtr3</c:v>
                  </c:pt>
                  <c:pt idx="18">
                    <c:v>Qtr4</c:v>
                  </c:pt>
                  <c:pt idx="19">
                    <c:v>Qtr1</c:v>
                  </c:pt>
                  <c:pt idx="20">
                    <c:v>Qtr2</c:v>
                  </c:pt>
                  <c:pt idx="21">
                    <c:v>Qtr3</c:v>
                  </c:pt>
                  <c:pt idx="22">
                    <c:v>Qtr1</c:v>
                  </c:pt>
                  <c:pt idx="23">
                    <c:v>Qtr2</c:v>
                  </c:pt>
                  <c:pt idx="24">
                    <c:v>Qtr3</c:v>
                  </c:pt>
                  <c:pt idx="25">
                    <c:v>Qtr4</c:v>
                  </c:pt>
                  <c:pt idx="26">
                    <c:v>Qtr1</c:v>
                  </c:pt>
                  <c:pt idx="27">
                    <c:v>Qtr2</c:v>
                  </c:pt>
                  <c:pt idx="28">
                    <c:v>Qtr3</c:v>
                  </c:pt>
                  <c:pt idx="29">
                    <c:v>Qtr4</c:v>
                  </c:pt>
                  <c:pt idx="30">
                    <c:v>Qtr1</c:v>
                  </c:pt>
                  <c:pt idx="31">
                    <c:v>Qtr2</c:v>
                  </c:pt>
                  <c:pt idx="32">
                    <c:v>Qtr3</c:v>
                  </c:pt>
                  <c:pt idx="33">
                    <c:v>Qtr1</c:v>
                  </c:pt>
                  <c:pt idx="34">
                    <c:v>Qtr2</c:v>
                  </c:pt>
                  <c:pt idx="35">
                    <c:v>Qtr3</c:v>
                  </c:pt>
                  <c:pt idx="36">
                    <c:v>Qtr4</c:v>
                  </c:pt>
                  <c:pt idx="37">
                    <c:v>Qtr1</c:v>
                  </c:pt>
                  <c:pt idx="38">
                    <c:v>Qtr2</c:v>
                  </c:pt>
                  <c:pt idx="39">
                    <c:v>Qtr3</c:v>
                  </c:pt>
                  <c:pt idx="40">
                    <c:v>Qtr4</c:v>
                  </c:pt>
                  <c:pt idx="41">
                    <c:v>Qtr1</c:v>
                  </c:pt>
                  <c:pt idx="42">
                    <c:v>Qtr2</c:v>
                  </c:pt>
                  <c:pt idx="43">
                    <c:v>Qtr3</c:v>
                  </c:pt>
                </c:lvl>
                <c:lvl>
                  <c:pt idx="0">
                    <c:v>2025</c:v>
                  </c:pt>
                  <c:pt idx="4">
                    <c:v>2026</c:v>
                  </c:pt>
                  <c:pt idx="8">
                    <c:v>2027</c:v>
                  </c:pt>
                  <c:pt idx="11">
                    <c:v>2025</c:v>
                  </c:pt>
                  <c:pt idx="15">
                    <c:v>2026</c:v>
                  </c:pt>
                  <c:pt idx="19">
                    <c:v>2027</c:v>
                  </c:pt>
                  <c:pt idx="22">
                    <c:v>2025</c:v>
                  </c:pt>
                  <c:pt idx="26">
                    <c:v>2026</c:v>
                  </c:pt>
                  <c:pt idx="30">
                    <c:v>2027</c:v>
                  </c:pt>
                  <c:pt idx="33">
                    <c:v>2025</c:v>
                  </c:pt>
                  <c:pt idx="37">
                    <c:v>2026</c:v>
                  </c:pt>
                  <c:pt idx="41">
                    <c:v>2027</c:v>
                  </c:pt>
                </c:lvl>
                <c:lvl>
                  <c:pt idx="0">
                    <c:v>Asset</c:v>
                  </c:pt>
                  <c:pt idx="11">
                    <c:v>Expense</c:v>
                  </c:pt>
                  <c:pt idx="22">
                    <c:v>Liability</c:v>
                  </c:pt>
                  <c:pt idx="33">
                    <c:v>Revenue</c:v>
                  </c:pt>
                </c:lvl>
              </c:multiLvlStrCache>
            </c:multiLvlStrRef>
          </c:cat>
          <c:val>
            <c:numRef>
              <c:f>Analysis!$F$2:$F$62</c:f>
              <c:numCache>
                <c:formatCode>General</c:formatCode>
                <c:ptCount val="44"/>
                <c:pt idx="0">
                  <c:v>43700</c:v>
                </c:pt>
                <c:pt idx="1">
                  <c:v>33358</c:v>
                </c:pt>
                <c:pt idx="2">
                  <c:v>54654</c:v>
                </c:pt>
                <c:pt idx="3">
                  <c:v>57708</c:v>
                </c:pt>
                <c:pt idx="4">
                  <c:v>54375</c:v>
                </c:pt>
                <c:pt idx="5">
                  <c:v>55065</c:v>
                </c:pt>
                <c:pt idx="6">
                  <c:v>29352</c:v>
                </c:pt>
                <c:pt idx="7">
                  <c:v>38552</c:v>
                </c:pt>
                <c:pt idx="8">
                  <c:v>39193</c:v>
                </c:pt>
                <c:pt idx="9">
                  <c:v>49765</c:v>
                </c:pt>
                <c:pt idx="10">
                  <c:v>60336</c:v>
                </c:pt>
                <c:pt idx="11">
                  <c:v>31794</c:v>
                </c:pt>
                <c:pt idx="12">
                  <c:v>45580</c:v>
                </c:pt>
                <c:pt idx="13">
                  <c:v>38580</c:v>
                </c:pt>
                <c:pt idx="14">
                  <c:v>51193</c:v>
                </c:pt>
                <c:pt idx="15">
                  <c:v>49980</c:v>
                </c:pt>
                <c:pt idx="16">
                  <c:v>38267</c:v>
                </c:pt>
                <c:pt idx="17">
                  <c:v>76139</c:v>
                </c:pt>
                <c:pt idx="18">
                  <c:v>63473</c:v>
                </c:pt>
                <c:pt idx="19">
                  <c:v>37691</c:v>
                </c:pt>
                <c:pt idx="20">
                  <c:v>49422</c:v>
                </c:pt>
                <c:pt idx="21">
                  <c:v>51345</c:v>
                </c:pt>
                <c:pt idx="22">
                  <c:v>28278</c:v>
                </c:pt>
                <c:pt idx="23">
                  <c:v>36188</c:v>
                </c:pt>
                <c:pt idx="24">
                  <c:v>60030</c:v>
                </c:pt>
                <c:pt idx="25">
                  <c:v>50270</c:v>
                </c:pt>
                <c:pt idx="26">
                  <c:v>38510</c:v>
                </c:pt>
                <c:pt idx="27">
                  <c:v>61879</c:v>
                </c:pt>
                <c:pt idx="28">
                  <c:v>35843</c:v>
                </c:pt>
                <c:pt idx="29">
                  <c:v>58496</c:v>
                </c:pt>
                <c:pt idx="30">
                  <c:v>67209</c:v>
                </c:pt>
                <c:pt idx="31">
                  <c:v>53966</c:v>
                </c:pt>
                <c:pt idx="32">
                  <c:v>39582</c:v>
                </c:pt>
                <c:pt idx="33">
                  <c:v>82266</c:v>
                </c:pt>
                <c:pt idx="34">
                  <c:v>36119</c:v>
                </c:pt>
                <c:pt idx="35">
                  <c:v>38380</c:v>
                </c:pt>
                <c:pt idx="36">
                  <c:v>27193</c:v>
                </c:pt>
                <c:pt idx="37">
                  <c:v>35340</c:v>
                </c:pt>
                <c:pt idx="38">
                  <c:v>42049</c:v>
                </c:pt>
                <c:pt idx="39">
                  <c:v>52154</c:v>
                </c:pt>
                <c:pt idx="40">
                  <c:v>40559</c:v>
                </c:pt>
                <c:pt idx="41">
                  <c:v>28858</c:v>
                </c:pt>
                <c:pt idx="42">
                  <c:v>29202</c:v>
                </c:pt>
                <c:pt idx="43">
                  <c:v>34295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D-4FFA-B213-C8A1EE797CD3}"/>
            </c:ext>
          </c:extLst>
        </c:ser>
        <c:ser>
          <c:idx val="2"/>
          <c:order val="2"/>
          <c:tx>
            <c:strRef>
              <c:f>Analysis!$G$1</c:f>
              <c:strCache>
                <c:ptCount val="1"/>
                <c:pt idx="0">
                  <c:v>Sum of Net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Analysis!$D$2:$D$62</c:f>
              <c:multiLvlStrCache>
                <c:ptCount val="44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Qtr1</c:v>
                  </c:pt>
                  <c:pt idx="12">
                    <c:v>Qtr2</c:v>
                  </c:pt>
                  <c:pt idx="13">
                    <c:v>Qtr3</c:v>
                  </c:pt>
                  <c:pt idx="14">
                    <c:v>Qtr4</c:v>
                  </c:pt>
                  <c:pt idx="15">
                    <c:v>Qtr1</c:v>
                  </c:pt>
                  <c:pt idx="16">
                    <c:v>Qtr2</c:v>
                  </c:pt>
                  <c:pt idx="17">
                    <c:v>Qtr3</c:v>
                  </c:pt>
                  <c:pt idx="18">
                    <c:v>Qtr4</c:v>
                  </c:pt>
                  <c:pt idx="19">
                    <c:v>Qtr1</c:v>
                  </c:pt>
                  <c:pt idx="20">
                    <c:v>Qtr2</c:v>
                  </c:pt>
                  <c:pt idx="21">
                    <c:v>Qtr3</c:v>
                  </c:pt>
                  <c:pt idx="22">
                    <c:v>Qtr1</c:v>
                  </c:pt>
                  <c:pt idx="23">
                    <c:v>Qtr2</c:v>
                  </c:pt>
                  <c:pt idx="24">
                    <c:v>Qtr3</c:v>
                  </c:pt>
                  <c:pt idx="25">
                    <c:v>Qtr4</c:v>
                  </c:pt>
                  <c:pt idx="26">
                    <c:v>Qtr1</c:v>
                  </c:pt>
                  <c:pt idx="27">
                    <c:v>Qtr2</c:v>
                  </c:pt>
                  <c:pt idx="28">
                    <c:v>Qtr3</c:v>
                  </c:pt>
                  <c:pt idx="29">
                    <c:v>Qtr4</c:v>
                  </c:pt>
                  <c:pt idx="30">
                    <c:v>Qtr1</c:v>
                  </c:pt>
                  <c:pt idx="31">
                    <c:v>Qtr2</c:v>
                  </c:pt>
                  <c:pt idx="32">
                    <c:v>Qtr3</c:v>
                  </c:pt>
                  <c:pt idx="33">
                    <c:v>Qtr1</c:v>
                  </c:pt>
                  <c:pt idx="34">
                    <c:v>Qtr2</c:v>
                  </c:pt>
                  <c:pt idx="35">
                    <c:v>Qtr3</c:v>
                  </c:pt>
                  <c:pt idx="36">
                    <c:v>Qtr4</c:v>
                  </c:pt>
                  <c:pt idx="37">
                    <c:v>Qtr1</c:v>
                  </c:pt>
                  <c:pt idx="38">
                    <c:v>Qtr2</c:v>
                  </c:pt>
                  <c:pt idx="39">
                    <c:v>Qtr3</c:v>
                  </c:pt>
                  <c:pt idx="40">
                    <c:v>Qtr4</c:v>
                  </c:pt>
                  <c:pt idx="41">
                    <c:v>Qtr1</c:v>
                  </c:pt>
                  <c:pt idx="42">
                    <c:v>Qtr2</c:v>
                  </c:pt>
                  <c:pt idx="43">
                    <c:v>Qtr3</c:v>
                  </c:pt>
                </c:lvl>
                <c:lvl>
                  <c:pt idx="0">
                    <c:v>2025</c:v>
                  </c:pt>
                  <c:pt idx="4">
                    <c:v>2026</c:v>
                  </c:pt>
                  <c:pt idx="8">
                    <c:v>2027</c:v>
                  </c:pt>
                  <c:pt idx="11">
                    <c:v>2025</c:v>
                  </c:pt>
                  <c:pt idx="15">
                    <c:v>2026</c:v>
                  </c:pt>
                  <c:pt idx="19">
                    <c:v>2027</c:v>
                  </c:pt>
                  <c:pt idx="22">
                    <c:v>2025</c:v>
                  </c:pt>
                  <c:pt idx="26">
                    <c:v>2026</c:v>
                  </c:pt>
                  <c:pt idx="30">
                    <c:v>2027</c:v>
                  </c:pt>
                  <c:pt idx="33">
                    <c:v>2025</c:v>
                  </c:pt>
                  <c:pt idx="37">
                    <c:v>2026</c:v>
                  </c:pt>
                  <c:pt idx="41">
                    <c:v>2027</c:v>
                  </c:pt>
                </c:lvl>
                <c:lvl>
                  <c:pt idx="0">
                    <c:v>Asset</c:v>
                  </c:pt>
                  <c:pt idx="11">
                    <c:v>Expense</c:v>
                  </c:pt>
                  <c:pt idx="22">
                    <c:v>Liability</c:v>
                  </c:pt>
                  <c:pt idx="33">
                    <c:v>Revenue</c:v>
                  </c:pt>
                </c:lvl>
              </c:multiLvlStrCache>
            </c:multiLvlStrRef>
          </c:cat>
          <c:val>
            <c:numRef>
              <c:f>Analysis!$G$2:$G$62</c:f>
              <c:numCache>
                <c:formatCode>General</c:formatCode>
                <c:ptCount val="44"/>
                <c:pt idx="0">
                  <c:v>54941</c:v>
                </c:pt>
                <c:pt idx="1">
                  <c:v>35741</c:v>
                </c:pt>
                <c:pt idx="2">
                  <c:v>59664</c:v>
                </c:pt>
                <c:pt idx="3">
                  <c:v>61786</c:v>
                </c:pt>
                <c:pt idx="4">
                  <c:v>58184</c:v>
                </c:pt>
                <c:pt idx="5">
                  <c:v>54050</c:v>
                </c:pt>
                <c:pt idx="6">
                  <c:v>45264</c:v>
                </c:pt>
                <c:pt idx="7">
                  <c:v>34520</c:v>
                </c:pt>
                <c:pt idx="8">
                  <c:v>35967</c:v>
                </c:pt>
                <c:pt idx="9">
                  <c:v>59282</c:v>
                </c:pt>
                <c:pt idx="10">
                  <c:v>52045</c:v>
                </c:pt>
                <c:pt idx="11">
                  <c:v>40766</c:v>
                </c:pt>
                <c:pt idx="12">
                  <c:v>62674</c:v>
                </c:pt>
                <c:pt idx="13">
                  <c:v>40879</c:v>
                </c:pt>
                <c:pt idx="14">
                  <c:v>57245</c:v>
                </c:pt>
                <c:pt idx="15">
                  <c:v>60500</c:v>
                </c:pt>
                <c:pt idx="16">
                  <c:v>39357</c:v>
                </c:pt>
                <c:pt idx="17">
                  <c:v>66097</c:v>
                </c:pt>
                <c:pt idx="18">
                  <c:v>58235</c:v>
                </c:pt>
                <c:pt idx="19">
                  <c:v>41347</c:v>
                </c:pt>
                <c:pt idx="20">
                  <c:v>47491</c:v>
                </c:pt>
                <c:pt idx="21">
                  <c:v>49593</c:v>
                </c:pt>
                <c:pt idx="22">
                  <c:v>32815</c:v>
                </c:pt>
                <c:pt idx="23">
                  <c:v>44669</c:v>
                </c:pt>
                <c:pt idx="24">
                  <c:v>49969</c:v>
                </c:pt>
                <c:pt idx="25">
                  <c:v>49896</c:v>
                </c:pt>
                <c:pt idx="26">
                  <c:v>38343</c:v>
                </c:pt>
                <c:pt idx="27">
                  <c:v>56997</c:v>
                </c:pt>
                <c:pt idx="28">
                  <c:v>34124</c:v>
                </c:pt>
                <c:pt idx="29">
                  <c:v>55801</c:v>
                </c:pt>
                <c:pt idx="30">
                  <c:v>62087</c:v>
                </c:pt>
                <c:pt idx="31">
                  <c:v>44772</c:v>
                </c:pt>
                <c:pt idx="32">
                  <c:v>38892</c:v>
                </c:pt>
                <c:pt idx="33">
                  <c:v>64614</c:v>
                </c:pt>
                <c:pt idx="34">
                  <c:v>44647</c:v>
                </c:pt>
                <c:pt idx="35">
                  <c:v>45744</c:v>
                </c:pt>
                <c:pt idx="36">
                  <c:v>28747</c:v>
                </c:pt>
                <c:pt idx="37">
                  <c:v>41416</c:v>
                </c:pt>
                <c:pt idx="38">
                  <c:v>35038</c:v>
                </c:pt>
                <c:pt idx="39">
                  <c:v>58081</c:v>
                </c:pt>
                <c:pt idx="40">
                  <c:v>51197</c:v>
                </c:pt>
                <c:pt idx="41">
                  <c:v>45034</c:v>
                </c:pt>
                <c:pt idx="42">
                  <c:v>34778</c:v>
                </c:pt>
                <c:pt idx="43">
                  <c:v>41470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ED-4FFA-B213-C8A1EE797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7975168"/>
        <c:axId val="1997975648"/>
      </c:barChart>
      <c:catAx>
        <c:axId val="1997975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975648"/>
        <c:crosses val="autoZero"/>
        <c:auto val="1"/>
        <c:lblAlgn val="ctr"/>
        <c:lblOffset val="100"/>
        <c:noMultiLvlLbl val="0"/>
      </c:catAx>
      <c:valAx>
        <c:axId val="199797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97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[Financial_Dashboard_Project_Ravichandra.xlsx]Analysis!PivotTable1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16300813792138"/>
          <c:y val="0.14068736503411622"/>
          <c:w val="0.69162709048915294"/>
          <c:h val="0.66344235750251734"/>
        </c:manualLayout>
      </c:layout>
      <c:lineChart>
        <c:grouping val="standar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Analysis!$D$2:$D$62</c:f>
              <c:multiLvlStrCache>
                <c:ptCount val="44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Qtr1</c:v>
                  </c:pt>
                  <c:pt idx="12">
                    <c:v>Qtr2</c:v>
                  </c:pt>
                  <c:pt idx="13">
                    <c:v>Qtr3</c:v>
                  </c:pt>
                  <c:pt idx="14">
                    <c:v>Qtr4</c:v>
                  </c:pt>
                  <c:pt idx="15">
                    <c:v>Qtr1</c:v>
                  </c:pt>
                  <c:pt idx="16">
                    <c:v>Qtr2</c:v>
                  </c:pt>
                  <c:pt idx="17">
                    <c:v>Qtr3</c:v>
                  </c:pt>
                  <c:pt idx="18">
                    <c:v>Qtr4</c:v>
                  </c:pt>
                  <c:pt idx="19">
                    <c:v>Qtr1</c:v>
                  </c:pt>
                  <c:pt idx="20">
                    <c:v>Qtr2</c:v>
                  </c:pt>
                  <c:pt idx="21">
                    <c:v>Qtr3</c:v>
                  </c:pt>
                  <c:pt idx="22">
                    <c:v>Qtr1</c:v>
                  </c:pt>
                  <c:pt idx="23">
                    <c:v>Qtr2</c:v>
                  </c:pt>
                  <c:pt idx="24">
                    <c:v>Qtr3</c:v>
                  </c:pt>
                  <c:pt idx="25">
                    <c:v>Qtr4</c:v>
                  </c:pt>
                  <c:pt idx="26">
                    <c:v>Qtr1</c:v>
                  </c:pt>
                  <c:pt idx="27">
                    <c:v>Qtr2</c:v>
                  </c:pt>
                  <c:pt idx="28">
                    <c:v>Qtr3</c:v>
                  </c:pt>
                  <c:pt idx="29">
                    <c:v>Qtr4</c:v>
                  </c:pt>
                  <c:pt idx="30">
                    <c:v>Qtr1</c:v>
                  </c:pt>
                  <c:pt idx="31">
                    <c:v>Qtr2</c:v>
                  </c:pt>
                  <c:pt idx="32">
                    <c:v>Qtr3</c:v>
                  </c:pt>
                  <c:pt idx="33">
                    <c:v>Qtr1</c:v>
                  </c:pt>
                  <c:pt idx="34">
                    <c:v>Qtr2</c:v>
                  </c:pt>
                  <c:pt idx="35">
                    <c:v>Qtr3</c:v>
                  </c:pt>
                  <c:pt idx="36">
                    <c:v>Qtr4</c:v>
                  </c:pt>
                  <c:pt idx="37">
                    <c:v>Qtr1</c:v>
                  </c:pt>
                  <c:pt idx="38">
                    <c:v>Qtr2</c:v>
                  </c:pt>
                  <c:pt idx="39">
                    <c:v>Qtr3</c:v>
                  </c:pt>
                  <c:pt idx="40">
                    <c:v>Qtr4</c:v>
                  </c:pt>
                  <c:pt idx="41">
                    <c:v>Qtr1</c:v>
                  </c:pt>
                  <c:pt idx="42">
                    <c:v>Qtr2</c:v>
                  </c:pt>
                  <c:pt idx="43">
                    <c:v>Qtr3</c:v>
                  </c:pt>
                </c:lvl>
                <c:lvl>
                  <c:pt idx="0">
                    <c:v>2025</c:v>
                  </c:pt>
                  <c:pt idx="4">
                    <c:v>2026</c:v>
                  </c:pt>
                  <c:pt idx="8">
                    <c:v>2027</c:v>
                  </c:pt>
                  <c:pt idx="11">
                    <c:v>2025</c:v>
                  </c:pt>
                  <c:pt idx="15">
                    <c:v>2026</c:v>
                  </c:pt>
                  <c:pt idx="19">
                    <c:v>2027</c:v>
                  </c:pt>
                  <c:pt idx="22">
                    <c:v>2025</c:v>
                  </c:pt>
                  <c:pt idx="26">
                    <c:v>2026</c:v>
                  </c:pt>
                  <c:pt idx="30">
                    <c:v>2027</c:v>
                  </c:pt>
                  <c:pt idx="33">
                    <c:v>2025</c:v>
                  </c:pt>
                  <c:pt idx="37">
                    <c:v>2026</c:v>
                  </c:pt>
                  <c:pt idx="41">
                    <c:v>2027</c:v>
                  </c:pt>
                </c:lvl>
                <c:lvl>
                  <c:pt idx="0">
                    <c:v>Asset</c:v>
                  </c:pt>
                  <c:pt idx="11">
                    <c:v>Expense</c:v>
                  </c:pt>
                  <c:pt idx="22">
                    <c:v>Liability</c:v>
                  </c:pt>
                  <c:pt idx="33">
                    <c:v>Revenue</c:v>
                  </c:pt>
                </c:lvl>
              </c:multiLvlStrCache>
            </c:multiLvlStrRef>
          </c:cat>
          <c:val>
            <c:numRef>
              <c:f>Analysis!$E$2:$E$62</c:f>
              <c:numCache>
                <c:formatCode>General</c:formatCode>
                <c:ptCount val="44"/>
                <c:pt idx="0">
                  <c:v>68224</c:v>
                </c:pt>
                <c:pt idx="1">
                  <c:v>44271</c:v>
                </c:pt>
                <c:pt idx="2">
                  <c:v>58609</c:v>
                </c:pt>
                <c:pt idx="3">
                  <c:v>68328</c:v>
                </c:pt>
                <c:pt idx="4">
                  <c:v>64994</c:v>
                </c:pt>
                <c:pt idx="5">
                  <c:v>63148</c:v>
                </c:pt>
                <c:pt idx="6">
                  <c:v>58969</c:v>
                </c:pt>
                <c:pt idx="7">
                  <c:v>53771</c:v>
                </c:pt>
                <c:pt idx="8">
                  <c:v>56987</c:v>
                </c:pt>
                <c:pt idx="9">
                  <c:v>59025</c:v>
                </c:pt>
                <c:pt idx="10">
                  <c:v>59950</c:v>
                </c:pt>
                <c:pt idx="11">
                  <c:v>56872</c:v>
                </c:pt>
                <c:pt idx="12">
                  <c:v>78421</c:v>
                </c:pt>
                <c:pt idx="13">
                  <c:v>50192</c:v>
                </c:pt>
                <c:pt idx="14">
                  <c:v>67030</c:v>
                </c:pt>
                <c:pt idx="15">
                  <c:v>69023</c:v>
                </c:pt>
                <c:pt idx="16">
                  <c:v>52592</c:v>
                </c:pt>
                <c:pt idx="17">
                  <c:v>74771</c:v>
                </c:pt>
                <c:pt idx="18">
                  <c:v>74301</c:v>
                </c:pt>
                <c:pt idx="19">
                  <c:v>44717</c:v>
                </c:pt>
                <c:pt idx="20">
                  <c:v>52584</c:v>
                </c:pt>
                <c:pt idx="21">
                  <c:v>72502</c:v>
                </c:pt>
                <c:pt idx="22">
                  <c:v>43553</c:v>
                </c:pt>
                <c:pt idx="23">
                  <c:v>66195</c:v>
                </c:pt>
                <c:pt idx="24">
                  <c:v>73894</c:v>
                </c:pt>
                <c:pt idx="25">
                  <c:v>58462</c:v>
                </c:pt>
                <c:pt idx="26">
                  <c:v>51537</c:v>
                </c:pt>
                <c:pt idx="27">
                  <c:v>74395</c:v>
                </c:pt>
                <c:pt idx="28">
                  <c:v>33444</c:v>
                </c:pt>
                <c:pt idx="29">
                  <c:v>63945</c:v>
                </c:pt>
                <c:pt idx="30">
                  <c:v>102420</c:v>
                </c:pt>
                <c:pt idx="31">
                  <c:v>54891</c:v>
                </c:pt>
                <c:pt idx="32">
                  <c:v>41503</c:v>
                </c:pt>
                <c:pt idx="33">
                  <c:v>86437</c:v>
                </c:pt>
                <c:pt idx="34">
                  <c:v>65991</c:v>
                </c:pt>
                <c:pt idx="35">
                  <c:v>53458</c:v>
                </c:pt>
                <c:pt idx="36">
                  <c:v>24759</c:v>
                </c:pt>
                <c:pt idx="37">
                  <c:v>43971</c:v>
                </c:pt>
                <c:pt idx="38">
                  <c:v>58537</c:v>
                </c:pt>
                <c:pt idx="39">
                  <c:v>43193</c:v>
                </c:pt>
                <c:pt idx="40">
                  <c:v>66867</c:v>
                </c:pt>
                <c:pt idx="41">
                  <c:v>55409</c:v>
                </c:pt>
                <c:pt idx="42">
                  <c:v>45992</c:v>
                </c:pt>
                <c:pt idx="43">
                  <c:v>52855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38-4CD1-9E91-209943573583}"/>
            </c:ext>
          </c:extLst>
        </c:ser>
        <c:ser>
          <c:idx val="1"/>
          <c:order val="1"/>
          <c:tx>
            <c:strRef>
              <c:f>Analysis!$F$1</c:f>
              <c:strCache>
                <c:ptCount val="1"/>
                <c:pt idx="0">
                  <c:v>Sum of Expenditure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Analysis!$D$2:$D$62</c:f>
              <c:multiLvlStrCache>
                <c:ptCount val="44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Qtr1</c:v>
                  </c:pt>
                  <c:pt idx="12">
                    <c:v>Qtr2</c:v>
                  </c:pt>
                  <c:pt idx="13">
                    <c:v>Qtr3</c:v>
                  </c:pt>
                  <c:pt idx="14">
                    <c:v>Qtr4</c:v>
                  </c:pt>
                  <c:pt idx="15">
                    <c:v>Qtr1</c:v>
                  </c:pt>
                  <c:pt idx="16">
                    <c:v>Qtr2</c:v>
                  </c:pt>
                  <c:pt idx="17">
                    <c:v>Qtr3</c:v>
                  </c:pt>
                  <c:pt idx="18">
                    <c:v>Qtr4</c:v>
                  </c:pt>
                  <c:pt idx="19">
                    <c:v>Qtr1</c:v>
                  </c:pt>
                  <c:pt idx="20">
                    <c:v>Qtr2</c:v>
                  </c:pt>
                  <c:pt idx="21">
                    <c:v>Qtr3</c:v>
                  </c:pt>
                  <c:pt idx="22">
                    <c:v>Qtr1</c:v>
                  </c:pt>
                  <c:pt idx="23">
                    <c:v>Qtr2</c:v>
                  </c:pt>
                  <c:pt idx="24">
                    <c:v>Qtr3</c:v>
                  </c:pt>
                  <c:pt idx="25">
                    <c:v>Qtr4</c:v>
                  </c:pt>
                  <c:pt idx="26">
                    <c:v>Qtr1</c:v>
                  </c:pt>
                  <c:pt idx="27">
                    <c:v>Qtr2</c:v>
                  </c:pt>
                  <c:pt idx="28">
                    <c:v>Qtr3</c:v>
                  </c:pt>
                  <c:pt idx="29">
                    <c:v>Qtr4</c:v>
                  </c:pt>
                  <c:pt idx="30">
                    <c:v>Qtr1</c:v>
                  </c:pt>
                  <c:pt idx="31">
                    <c:v>Qtr2</c:v>
                  </c:pt>
                  <c:pt idx="32">
                    <c:v>Qtr3</c:v>
                  </c:pt>
                  <c:pt idx="33">
                    <c:v>Qtr1</c:v>
                  </c:pt>
                  <c:pt idx="34">
                    <c:v>Qtr2</c:v>
                  </c:pt>
                  <c:pt idx="35">
                    <c:v>Qtr3</c:v>
                  </c:pt>
                  <c:pt idx="36">
                    <c:v>Qtr4</c:v>
                  </c:pt>
                  <c:pt idx="37">
                    <c:v>Qtr1</c:v>
                  </c:pt>
                  <c:pt idx="38">
                    <c:v>Qtr2</c:v>
                  </c:pt>
                  <c:pt idx="39">
                    <c:v>Qtr3</c:v>
                  </c:pt>
                  <c:pt idx="40">
                    <c:v>Qtr4</c:v>
                  </c:pt>
                  <c:pt idx="41">
                    <c:v>Qtr1</c:v>
                  </c:pt>
                  <c:pt idx="42">
                    <c:v>Qtr2</c:v>
                  </c:pt>
                  <c:pt idx="43">
                    <c:v>Qtr3</c:v>
                  </c:pt>
                </c:lvl>
                <c:lvl>
                  <c:pt idx="0">
                    <c:v>2025</c:v>
                  </c:pt>
                  <c:pt idx="4">
                    <c:v>2026</c:v>
                  </c:pt>
                  <c:pt idx="8">
                    <c:v>2027</c:v>
                  </c:pt>
                  <c:pt idx="11">
                    <c:v>2025</c:v>
                  </c:pt>
                  <c:pt idx="15">
                    <c:v>2026</c:v>
                  </c:pt>
                  <c:pt idx="19">
                    <c:v>2027</c:v>
                  </c:pt>
                  <c:pt idx="22">
                    <c:v>2025</c:v>
                  </c:pt>
                  <c:pt idx="26">
                    <c:v>2026</c:v>
                  </c:pt>
                  <c:pt idx="30">
                    <c:v>2027</c:v>
                  </c:pt>
                  <c:pt idx="33">
                    <c:v>2025</c:v>
                  </c:pt>
                  <c:pt idx="37">
                    <c:v>2026</c:v>
                  </c:pt>
                  <c:pt idx="41">
                    <c:v>2027</c:v>
                  </c:pt>
                </c:lvl>
                <c:lvl>
                  <c:pt idx="0">
                    <c:v>Asset</c:v>
                  </c:pt>
                  <c:pt idx="11">
                    <c:v>Expense</c:v>
                  </c:pt>
                  <c:pt idx="22">
                    <c:v>Liability</c:v>
                  </c:pt>
                  <c:pt idx="33">
                    <c:v>Revenue</c:v>
                  </c:pt>
                </c:lvl>
              </c:multiLvlStrCache>
            </c:multiLvlStrRef>
          </c:cat>
          <c:val>
            <c:numRef>
              <c:f>Analysis!$F$2:$F$62</c:f>
              <c:numCache>
                <c:formatCode>General</c:formatCode>
                <c:ptCount val="44"/>
                <c:pt idx="0">
                  <c:v>43700</c:v>
                </c:pt>
                <c:pt idx="1">
                  <c:v>33358</c:v>
                </c:pt>
                <c:pt idx="2">
                  <c:v>54654</c:v>
                </c:pt>
                <c:pt idx="3">
                  <c:v>57708</c:v>
                </c:pt>
                <c:pt idx="4">
                  <c:v>54375</c:v>
                </c:pt>
                <c:pt idx="5">
                  <c:v>55065</c:v>
                </c:pt>
                <c:pt idx="6">
                  <c:v>29352</c:v>
                </c:pt>
                <c:pt idx="7">
                  <c:v>38552</c:v>
                </c:pt>
                <c:pt idx="8">
                  <c:v>39193</c:v>
                </c:pt>
                <c:pt idx="9">
                  <c:v>49765</c:v>
                </c:pt>
                <c:pt idx="10">
                  <c:v>60336</c:v>
                </c:pt>
                <c:pt idx="11">
                  <c:v>31794</c:v>
                </c:pt>
                <c:pt idx="12">
                  <c:v>45580</c:v>
                </c:pt>
                <c:pt idx="13">
                  <c:v>38580</c:v>
                </c:pt>
                <c:pt idx="14">
                  <c:v>51193</c:v>
                </c:pt>
                <c:pt idx="15">
                  <c:v>49980</c:v>
                </c:pt>
                <c:pt idx="16">
                  <c:v>38267</c:v>
                </c:pt>
                <c:pt idx="17">
                  <c:v>76139</c:v>
                </c:pt>
                <c:pt idx="18">
                  <c:v>63473</c:v>
                </c:pt>
                <c:pt idx="19">
                  <c:v>37691</c:v>
                </c:pt>
                <c:pt idx="20">
                  <c:v>49422</c:v>
                </c:pt>
                <c:pt idx="21">
                  <c:v>51345</c:v>
                </c:pt>
                <c:pt idx="22">
                  <c:v>28278</c:v>
                </c:pt>
                <c:pt idx="23">
                  <c:v>36188</c:v>
                </c:pt>
                <c:pt idx="24">
                  <c:v>60030</c:v>
                </c:pt>
                <c:pt idx="25">
                  <c:v>50270</c:v>
                </c:pt>
                <c:pt idx="26">
                  <c:v>38510</c:v>
                </c:pt>
                <c:pt idx="27">
                  <c:v>61879</c:v>
                </c:pt>
                <c:pt idx="28">
                  <c:v>35843</c:v>
                </c:pt>
                <c:pt idx="29">
                  <c:v>58496</c:v>
                </c:pt>
                <c:pt idx="30">
                  <c:v>67209</c:v>
                </c:pt>
                <c:pt idx="31">
                  <c:v>53966</c:v>
                </c:pt>
                <c:pt idx="32">
                  <c:v>39582</c:v>
                </c:pt>
                <c:pt idx="33">
                  <c:v>82266</c:v>
                </c:pt>
                <c:pt idx="34">
                  <c:v>36119</c:v>
                </c:pt>
                <c:pt idx="35">
                  <c:v>38380</c:v>
                </c:pt>
                <c:pt idx="36">
                  <c:v>27193</c:v>
                </c:pt>
                <c:pt idx="37">
                  <c:v>35340</c:v>
                </c:pt>
                <c:pt idx="38">
                  <c:v>42049</c:v>
                </c:pt>
                <c:pt idx="39">
                  <c:v>52154</c:v>
                </c:pt>
                <c:pt idx="40">
                  <c:v>40559</c:v>
                </c:pt>
                <c:pt idx="41">
                  <c:v>28858</c:v>
                </c:pt>
                <c:pt idx="42">
                  <c:v>29202</c:v>
                </c:pt>
                <c:pt idx="43">
                  <c:v>34295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38-4CD1-9E91-209943573583}"/>
            </c:ext>
          </c:extLst>
        </c:ser>
        <c:ser>
          <c:idx val="2"/>
          <c:order val="2"/>
          <c:tx>
            <c:strRef>
              <c:f>Analysis!$G$1</c:f>
              <c:strCache>
                <c:ptCount val="1"/>
                <c:pt idx="0">
                  <c:v>Sum of Net Income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Analysis!$D$2:$D$62</c:f>
              <c:multiLvlStrCache>
                <c:ptCount val="44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Qtr1</c:v>
                  </c:pt>
                  <c:pt idx="12">
                    <c:v>Qtr2</c:v>
                  </c:pt>
                  <c:pt idx="13">
                    <c:v>Qtr3</c:v>
                  </c:pt>
                  <c:pt idx="14">
                    <c:v>Qtr4</c:v>
                  </c:pt>
                  <c:pt idx="15">
                    <c:v>Qtr1</c:v>
                  </c:pt>
                  <c:pt idx="16">
                    <c:v>Qtr2</c:v>
                  </c:pt>
                  <c:pt idx="17">
                    <c:v>Qtr3</c:v>
                  </c:pt>
                  <c:pt idx="18">
                    <c:v>Qtr4</c:v>
                  </c:pt>
                  <c:pt idx="19">
                    <c:v>Qtr1</c:v>
                  </c:pt>
                  <c:pt idx="20">
                    <c:v>Qtr2</c:v>
                  </c:pt>
                  <c:pt idx="21">
                    <c:v>Qtr3</c:v>
                  </c:pt>
                  <c:pt idx="22">
                    <c:v>Qtr1</c:v>
                  </c:pt>
                  <c:pt idx="23">
                    <c:v>Qtr2</c:v>
                  </c:pt>
                  <c:pt idx="24">
                    <c:v>Qtr3</c:v>
                  </c:pt>
                  <c:pt idx="25">
                    <c:v>Qtr4</c:v>
                  </c:pt>
                  <c:pt idx="26">
                    <c:v>Qtr1</c:v>
                  </c:pt>
                  <c:pt idx="27">
                    <c:v>Qtr2</c:v>
                  </c:pt>
                  <c:pt idx="28">
                    <c:v>Qtr3</c:v>
                  </c:pt>
                  <c:pt idx="29">
                    <c:v>Qtr4</c:v>
                  </c:pt>
                  <c:pt idx="30">
                    <c:v>Qtr1</c:v>
                  </c:pt>
                  <c:pt idx="31">
                    <c:v>Qtr2</c:v>
                  </c:pt>
                  <c:pt idx="32">
                    <c:v>Qtr3</c:v>
                  </c:pt>
                  <c:pt idx="33">
                    <c:v>Qtr1</c:v>
                  </c:pt>
                  <c:pt idx="34">
                    <c:v>Qtr2</c:v>
                  </c:pt>
                  <c:pt idx="35">
                    <c:v>Qtr3</c:v>
                  </c:pt>
                  <c:pt idx="36">
                    <c:v>Qtr4</c:v>
                  </c:pt>
                  <c:pt idx="37">
                    <c:v>Qtr1</c:v>
                  </c:pt>
                  <c:pt idx="38">
                    <c:v>Qtr2</c:v>
                  </c:pt>
                  <c:pt idx="39">
                    <c:v>Qtr3</c:v>
                  </c:pt>
                  <c:pt idx="40">
                    <c:v>Qtr4</c:v>
                  </c:pt>
                  <c:pt idx="41">
                    <c:v>Qtr1</c:v>
                  </c:pt>
                  <c:pt idx="42">
                    <c:v>Qtr2</c:v>
                  </c:pt>
                  <c:pt idx="43">
                    <c:v>Qtr3</c:v>
                  </c:pt>
                </c:lvl>
                <c:lvl>
                  <c:pt idx="0">
                    <c:v>2025</c:v>
                  </c:pt>
                  <c:pt idx="4">
                    <c:v>2026</c:v>
                  </c:pt>
                  <c:pt idx="8">
                    <c:v>2027</c:v>
                  </c:pt>
                  <c:pt idx="11">
                    <c:v>2025</c:v>
                  </c:pt>
                  <c:pt idx="15">
                    <c:v>2026</c:v>
                  </c:pt>
                  <c:pt idx="19">
                    <c:v>2027</c:v>
                  </c:pt>
                  <c:pt idx="22">
                    <c:v>2025</c:v>
                  </c:pt>
                  <c:pt idx="26">
                    <c:v>2026</c:v>
                  </c:pt>
                  <c:pt idx="30">
                    <c:v>2027</c:v>
                  </c:pt>
                  <c:pt idx="33">
                    <c:v>2025</c:v>
                  </c:pt>
                  <c:pt idx="37">
                    <c:v>2026</c:v>
                  </c:pt>
                  <c:pt idx="41">
                    <c:v>2027</c:v>
                  </c:pt>
                </c:lvl>
                <c:lvl>
                  <c:pt idx="0">
                    <c:v>Asset</c:v>
                  </c:pt>
                  <c:pt idx="11">
                    <c:v>Expense</c:v>
                  </c:pt>
                  <c:pt idx="22">
                    <c:v>Liability</c:v>
                  </c:pt>
                  <c:pt idx="33">
                    <c:v>Revenue</c:v>
                  </c:pt>
                </c:lvl>
              </c:multiLvlStrCache>
            </c:multiLvlStrRef>
          </c:cat>
          <c:val>
            <c:numRef>
              <c:f>Analysis!$G$2:$G$62</c:f>
              <c:numCache>
                <c:formatCode>General</c:formatCode>
                <c:ptCount val="44"/>
                <c:pt idx="0">
                  <c:v>54941</c:v>
                </c:pt>
                <c:pt idx="1">
                  <c:v>35741</c:v>
                </c:pt>
                <c:pt idx="2">
                  <c:v>59664</c:v>
                </c:pt>
                <c:pt idx="3">
                  <c:v>61786</c:v>
                </c:pt>
                <c:pt idx="4">
                  <c:v>58184</c:v>
                </c:pt>
                <c:pt idx="5">
                  <c:v>54050</c:v>
                </c:pt>
                <c:pt idx="6">
                  <c:v>45264</c:v>
                </c:pt>
                <c:pt idx="7">
                  <c:v>34520</c:v>
                </c:pt>
                <c:pt idx="8">
                  <c:v>35967</c:v>
                </c:pt>
                <c:pt idx="9">
                  <c:v>59282</c:v>
                </c:pt>
                <c:pt idx="10">
                  <c:v>52045</c:v>
                </c:pt>
                <c:pt idx="11">
                  <c:v>40766</c:v>
                </c:pt>
                <c:pt idx="12">
                  <c:v>62674</c:v>
                </c:pt>
                <c:pt idx="13">
                  <c:v>40879</c:v>
                </c:pt>
                <c:pt idx="14">
                  <c:v>57245</c:v>
                </c:pt>
                <c:pt idx="15">
                  <c:v>60500</c:v>
                </c:pt>
                <c:pt idx="16">
                  <c:v>39357</c:v>
                </c:pt>
                <c:pt idx="17">
                  <c:v>66097</c:v>
                </c:pt>
                <c:pt idx="18">
                  <c:v>58235</c:v>
                </c:pt>
                <c:pt idx="19">
                  <c:v>41347</c:v>
                </c:pt>
                <c:pt idx="20">
                  <c:v>47491</c:v>
                </c:pt>
                <c:pt idx="21">
                  <c:v>49593</c:v>
                </c:pt>
                <c:pt idx="22">
                  <c:v>32815</c:v>
                </c:pt>
                <c:pt idx="23">
                  <c:v>44669</c:v>
                </c:pt>
                <c:pt idx="24">
                  <c:v>49969</c:v>
                </c:pt>
                <c:pt idx="25">
                  <c:v>49896</c:v>
                </c:pt>
                <c:pt idx="26">
                  <c:v>38343</c:v>
                </c:pt>
                <c:pt idx="27">
                  <c:v>56997</c:v>
                </c:pt>
                <c:pt idx="28">
                  <c:v>34124</c:v>
                </c:pt>
                <c:pt idx="29">
                  <c:v>55801</c:v>
                </c:pt>
                <c:pt idx="30">
                  <c:v>62087</c:v>
                </c:pt>
                <c:pt idx="31">
                  <c:v>44772</c:v>
                </c:pt>
                <c:pt idx="32">
                  <c:v>38892</c:v>
                </c:pt>
                <c:pt idx="33">
                  <c:v>64614</c:v>
                </c:pt>
                <c:pt idx="34">
                  <c:v>44647</c:v>
                </c:pt>
                <c:pt idx="35">
                  <c:v>45744</c:v>
                </c:pt>
                <c:pt idx="36">
                  <c:v>28747</c:v>
                </c:pt>
                <c:pt idx="37">
                  <c:v>41416</c:v>
                </c:pt>
                <c:pt idx="38">
                  <c:v>35038</c:v>
                </c:pt>
                <c:pt idx="39">
                  <c:v>58081</c:v>
                </c:pt>
                <c:pt idx="40">
                  <c:v>51197</c:v>
                </c:pt>
                <c:pt idx="41">
                  <c:v>45034</c:v>
                </c:pt>
                <c:pt idx="42">
                  <c:v>34778</c:v>
                </c:pt>
                <c:pt idx="43">
                  <c:v>41470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38-4CD1-9E91-209943573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398448"/>
        <c:axId val="462391728"/>
      </c:lineChart>
      <c:catAx>
        <c:axId val="46239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391728"/>
        <c:crosses val="autoZero"/>
        <c:auto val="1"/>
        <c:lblAlgn val="ctr"/>
        <c:lblOffset val="100"/>
        <c:noMultiLvlLbl val="0"/>
      </c:catAx>
      <c:valAx>
        <c:axId val="46239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39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139987</xdr:colOff>
      <xdr:row>8</xdr:row>
      <xdr:rowOff>55317</xdr:rowOff>
    </xdr:from>
    <xdr:to>
      <xdr:col>2</xdr:col>
      <xdr:colOff>1957552</xdr:colOff>
      <xdr:row>22</xdr:row>
      <xdr:rowOff>26276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F8DE1A4-99F9-4902-BC6B-F352794FF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107226</xdr:colOff>
      <xdr:row>7</xdr:row>
      <xdr:rowOff>51640</xdr:rowOff>
    </xdr:from>
    <xdr:to>
      <xdr:col>4</xdr:col>
      <xdr:colOff>2211345</xdr:colOff>
      <xdr:row>21</xdr:row>
      <xdr:rowOff>133852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D581C2F-0899-4EF8-8C2F-90B62EA72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Yalagod" refreshedDate="46175.690629513891" createdVersion="8" refreshedVersion="8" minRefreshableVersion="3" recordCount="1000" xr:uid="{F806EBEF-527E-4A21-9B8C-053DB5E4CDE4}">
  <cacheSource type="worksheet">
    <worksheetSource ref="A1:U1001" sheet="accounting_data(Raw_data)"/>
  </cacheSource>
  <cacheFields count="24">
    <cacheField name="Transaction ID" numFmtId="0">
      <sharedItems containsSemiMixedTypes="0" containsString="0" containsNumber="1" containsInteger="1" minValue="1" maxValue="1000"/>
    </cacheField>
    <cacheField name="Dates" numFmtId="14">
      <sharedItems containsSemiMixedTypes="0" containsNonDate="0" containsDate="1" containsString="0" minDate="2025-01-01T00:00:00" maxDate="2027-09-28T00:00:00" count="100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</sharedItems>
      <fieldGroup par="23"/>
    </cacheField>
    <cacheField name="Account Type" numFmtId="0">
      <sharedItems count="4">
        <s v="Asset"/>
        <s v="Revenue"/>
        <s v="Expense"/>
        <s v="Liability"/>
      </sharedItems>
    </cacheField>
    <cacheField name="Transaction Amount" numFmtId="0">
      <sharedItems containsSemiMixedTypes="0" containsString="0" containsNumber="1" containsInteger="1" minValue="106" maxValue="4998"/>
    </cacheField>
    <cacheField name="Cash Flow" numFmtId="0">
      <sharedItems containsSemiMixedTypes="0" containsString="0" containsNumber="1" containsInteger="1" minValue="502" maxValue="4496"/>
    </cacheField>
    <cacheField name="Net Income" numFmtId="0">
      <sharedItems containsSemiMixedTypes="0" containsString="0" containsNumber="1" containsInteger="1" minValue="203" maxValue="3995"/>
    </cacheField>
    <cacheField name="Revenue" numFmtId="0">
      <sharedItems containsSemiMixedTypes="0" containsString="0" containsNumber="1" containsInteger="1" minValue="303" maxValue="4997"/>
    </cacheField>
    <cacheField name="Expenditure" numFmtId="0">
      <sharedItems containsSemiMixedTypes="0" containsString="0" containsNumber="1" containsInteger="1" minValue="100" maxValue="3998"/>
    </cacheField>
    <cacheField name="Profit Margin" numFmtId="0">
      <sharedItems containsSemiMixedTypes="0" containsString="0" containsNumber="1" minValue="0.20136343500000001" maxValue="0.79842687300000004"/>
    </cacheField>
    <cacheField name="Debt-to-Equity Ratio" numFmtId="0">
      <sharedItems containsSemiMixedTypes="0" containsString="0" containsNumber="1" minValue="0.50060522500000004" maxValue="2.99964356"/>
    </cacheField>
    <cacheField name="Operating Expenses" numFmtId="0">
      <sharedItems containsSemiMixedTypes="0" containsString="0" containsNumber="1" containsInteger="1" minValue="103" maxValue="4999"/>
    </cacheField>
    <cacheField name="Gross Profit" numFmtId="0">
      <sharedItems containsSemiMixedTypes="0" containsString="0" containsNumber="1" containsInteger="1" minValue="101" maxValue="3995"/>
    </cacheField>
    <cacheField name="Column1" numFmtId="0">
      <sharedItems containsSemiMixedTypes="0" containsString="0" containsNumber="1" containsInteger="1" minValue="1" maxValue="9"/>
    </cacheField>
    <cacheField name="Processing Time (seconds)" numFmtId="0">
      <sharedItems containsSemiMixedTypes="0" containsString="0" containsNumber="1" minValue="0.50006626899999995" maxValue="1.999772731"/>
    </cacheField>
    <cacheField name="Accuracy Score" numFmtId="0">
      <sharedItems containsSemiMixedTypes="0" containsString="0" containsNumber="1" minValue="0.80055369700000001" maxValue="0.99993442399999999"/>
    </cacheField>
    <cacheField name="Missing Data Indicator" numFmtId="0">
      <sharedItems/>
    </cacheField>
    <cacheField name="Normalized Transaction Amount" numFmtId="0">
      <sharedItems containsSemiMixedTypes="0" containsString="0" containsNumber="1" minValue="0" maxValue="1"/>
    </cacheField>
    <cacheField name="Transaction Outcome" numFmtId="0">
      <sharedItems containsSemiMixedTypes="0" containsString="0" containsNumber="1" containsInteger="1" minValue="0" maxValue="1"/>
    </cacheField>
    <cacheField name="Month" numFmtId="0">
      <sharedItems/>
    </cacheField>
    <cacheField name="Year" numFmtId="0">
      <sharedItems containsSemiMixedTypes="0" containsString="0" containsNumber="1" containsInteger="1" minValue="2025" maxValue="2027"/>
    </cacheField>
    <cacheField name="quarter" numFmtId="0">
      <sharedItems/>
    </cacheField>
    <cacheField name="Months (Dates)" numFmtId="0" databaseField="0">
      <fieldGroup base="1">
        <rangePr groupBy="months" startDate="2025-01-01T00:00:00" endDate="2027-09-28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09-2027"/>
        </groupItems>
      </fieldGroup>
    </cacheField>
    <cacheField name="Quarters (Dates)" numFmtId="0" databaseField="0">
      <fieldGroup base="1">
        <rangePr groupBy="quarters" startDate="2025-01-01T00:00:00" endDate="2027-09-28T00:00:00"/>
        <groupItems count="6">
          <s v="&lt;01-01-2025"/>
          <s v="Qtr1"/>
          <s v="Qtr2"/>
          <s v="Qtr3"/>
          <s v="Qtr4"/>
          <s v="&gt;28-09-2027"/>
        </groupItems>
      </fieldGroup>
    </cacheField>
    <cacheField name="Years (Dates)" numFmtId="0" databaseField="0">
      <fieldGroup base="1">
        <rangePr groupBy="years" startDate="2025-01-01T00:00:00" endDate="2027-09-28T00:00:00"/>
        <groupItems count="5">
          <s v="&lt;01-01-2025"/>
          <s v="2025"/>
          <s v="2026"/>
          <s v="2027"/>
          <s v="&gt;28-09-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n v="1176"/>
    <n v="3184"/>
    <n v="2174"/>
    <n v="3137"/>
    <n v="1823"/>
    <n v="0.60722066299999999"/>
    <n v="2.067003594"/>
    <n v="4098"/>
    <n v="2327"/>
    <n v="8"/>
    <n v="1.894685532"/>
    <n v="0.95993621100000004"/>
    <b v="0"/>
    <n v="0.21872444799999999"/>
    <n v="1"/>
    <s v="Jan"/>
    <n v="2025"/>
    <s v="Q1"/>
  </r>
  <r>
    <n v="2"/>
    <x v="1"/>
    <x v="0"/>
    <n v="1291"/>
    <n v="3221"/>
    <n v="3236"/>
    <n v="4694"/>
    <n v="2746"/>
    <n v="0.35560801800000003"/>
    <n v="2.3475371219999999"/>
    <n v="3872"/>
    <n v="388"/>
    <n v="5"/>
    <n v="1.7289898589999999"/>
    <n v="0.96638215000000005"/>
    <b v="0"/>
    <n v="0.242232216"/>
    <n v="1"/>
    <s v="Jan"/>
    <n v="2025"/>
    <s v="Q1"/>
  </r>
  <r>
    <n v="3"/>
    <x v="2"/>
    <x v="1"/>
    <n v="4966"/>
    <n v="3309"/>
    <n v="3689"/>
    <n v="3363"/>
    <n v="3102"/>
    <n v="0.67834736900000003"/>
    <n v="1.9010029420000001"/>
    <n v="4780"/>
    <n v="2616"/>
    <n v="2"/>
    <n v="1.7070990660000001"/>
    <n v="0.82830657299999999"/>
    <b v="0"/>
    <n v="0.99345870800000002"/>
    <n v="1"/>
    <s v="Jan"/>
    <n v="2025"/>
    <s v="Q1"/>
  </r>
  <r>
    <n v="4"/>
    <x v="3"/>
    <x v="2"/>
    <n v="4641"/>
    <n v="1952"/>
    <n v="245"/>
    <n v="4373"/>
    <n v="808"/>
    <n v="0.221046668"/>
    <n v="0.93412521599999998"/>
    <n v="4948"/>
    <n v="2237"/>
    <n v="8"/>
    <n v="1.750640693"/>
    <n v="0.98414911100000002"/>
    <b v="0"/>
    <n v="0.927023712"/>
    <n v="1"/>
    <s v="Jan"/>
    <n v="2025"/>
    <s v="Q1"/>
  </r>
  <r>
    <n v="5"/>
    <x v="4"/>
    <x v="2"/>
    <n v="2305"/>
    <n v="2131"/>
    <n v="2037"/>
    <n v="4956"/>
    <n v="644"/>
    <n v="0.50932281400000001"/>
    <n v="1.0611779670000001"/>
    <n v="3289"/>
    <n v="1729"/>
    <n v="3"/>
    <n v="0.87970753599999996"/>
    <n v="0.92910714900000002"/>
    <b v="0"/>
    <n v="0.44950940299999997"/>
    <n v="1"/>
    <s v="Jan"/>
    <n v="2025"/>
    <s v="Q1"/>
  </r>
  <r>
    <n v="6"/>
    <x v="5"/>
    <x v="1"/>
    <n v="3102"/>
    <n v="2795"/>
    <n v="1715"/>
    <n v="909"/>
    <n v="3287"/>
    <n v="0.43844813999999999"/>
    <n v="2.5464916899999999"/>
    <n v="3129"/>
    <n v="1770"/>
    <n v="2"/>
    <n v="1.294921781"/>
    <n v="0.88266947600000001"/>
    <b v="0"/>
    <n v="0.61242845499999998"/>
    <n v="1"/>
    <s v="Jan"/>
    <n v="2025"/>
    <s v="Q1"/>
  </r>
  <r>
    <n v="7"/>
    <x v="6"/>
    <x v="1"/>
    <n v="3847"/>
    <n v="2485"/>
    <n v="3955"/>
    <n v="4309"/>
    <n v="3011"/>
    <n v="0.77112954600000005"/>
    <n v="2.1858049460000002"/>
    <n v="3877"/>
    <n v="567"/>
    <n v="5"/>
    <n v="1.43032063"/>
    <n v="0.80249118200000003"/>
    <b v="0"/>
    <n v="0.76471790699999997"/>
    <n v="1"/>
    <s v="Jan"/>
    <n v="2025"/>
    <s v="Q1"/>
  </r>
  <r>
    <n v="8"/>
    <x v="7"/>
    <x v="0"/>
    <n v="3061"/>
    <n v="4125"/>
    <n v="3477"/>
    <n v="612"/>
    <n v="3914"/>
    <n v="0.55101234200000004"/>
    <n v="1.0908808400000001"/>
    <n v="1875"/>
    <n v="3335"/>
    <n v="3"/>
    <n v="1.2391209240000001"/>
    <n v="0.82807603399999996"/>
    <b v="0"/>
    <n v="0.604047424"/>
    <n v="1"/>
    <s v="Jan"/>
    <n v="2025"/>
    <s v="Q1"/>
  </r>
  <r>
    <n v="9"/>
    <x v="8"/>
    <x v="2"/>
    <n v="1490"/>
    <n v="2044"/>
    <n v="1907"/>
    <n v="3273"/>
    <n v="1045"/>
    <n v="0.41244077099999998"/>
    <n v="2.9322883009999998"/>
    <n v="4847"/>
    <n v="621"/>
    <n v="2"/>
    <n v="1.5171367090000001"/>
    <n v="0.80808655900000004"/>
    <b v="0"/>
    <n v="0.28291087500000001"/>
    <n v="1"/>
    <s v="Jan"/>
    <n v="2025"/>
    <s v="Q1"/>
  </r>
  <r>
    <n v="10"/>
    <x v="9"/>
    <x v="3"/>
    <n v="3265"/>
    <n v="3041"/>
    <n v="2905"/>
    <n v="898"/>
    <n v="3931"/>
    <n v="0.78966606900000003"/>
    <n v="2.7887179309999999"/>
    <n v="2001"/>
    <n v="2829"/>
    <n v="5"/>
    <n v="0.55829649000000003"/>
    <n v="0.86584618099999999"/>
    <b v="0"/>
    <n v="0.64574816000000002"/>
    <n v="1"/>
    <s v="Jan"/>
    <n v="2025"/>
    <s v="Q1"/>
  </r>
  <r>
    <n v="11"/>
    <x v="10"/>
    <x v="2"/>
    <n v="407"/>
    <n v="1700"/>
    <n v="2616"/>
    <n v="2987"/>
    <n v="362"/>
    <n v="0.64456065900000004"/>
    <n v="2.1341940730000002"/>
    <n v="521"/>
    <n v="3648"/>
    <n v="7"/>
    <n v="0.57642782599999998"/>
    <n v="0.91019391500000002"/>
    <b v="0"/>
    <n v="6.1529027E-2"/>
    <n v="1"/>
    <s v="Jan"/>
    <n v="2025"/>
    <s v="Q1"/>
  </r>
  <r>
    <n v="12"/>
    <x v="11"/>
    <x v="1"/>
    <n v="4768"/>
    <n v="1946"/>
    <n v="3422"/>
    <n v="2035"/>
    <n v="534"/>
    <n v="0.48988105900000001"/>
    <n v="2.7432574280000002"/>
    <n v="3890"/>
    <n v="3378"/>
    <n v="2"/>
    <n v="0.50215104700000002"/>
    <n v="0.84860005299999997"/>
    <b v="0"/>
    <n v="0.95298446400000003"/>
    <n v="1"/>
    <s v="Jan"/>
    <n v="2025"/>
    <s v="Q1"/>
  </r>
  <r>
    <n v="13"/>
    <x v="12"/>
    <x v="1"/>
    <n v="3197"/>
    <n v="3969"/>
    <n v="375"/>
    <n v="2739"/>
    <n v="272"/>
    <n v="0.77191140599999997"/>
    <n v="1.854008587"/>
    <n v="4106"/>
    <n v="1070"/>
    <n v="9"/>
    <n v="0.60933380500000001"/>
    <n v="0.92222891600000001"/>
    <b v="0"/>
    <n v="0.63184791500000004"/>
    <n v="0"/>
    <s v="Jan"/>
    <n v="2025"/>
    <s v="Q1"/>
  </r>
  <r>
    <n v="14"/>
    <x v="13"/>
    <x v="1"/>
    <n v="3997"/>
    <n v="3825"/>
    <n v="3205"/>
    <n v="4541"/>
    <n v="2145"/>
    <n v="0.59743016500000001"/>
    <n v="2.4119790069999998"/>
    <n v="2571"/>
    <n v="1689"/>
    <n v="8"/>
    <n v="1.613094171"/>
    <n v="0.94190406999999998"/>
    <b v="0"/>
    <n v="0.79538021299999995"/>
    <n v="1"/>
    <s v="Jan"/>
    <n v="2025"/>
    <s v="Q1"/>
  </r>
  <r>
    <n v="15"/>
    <x v="14"/>
    <x v="1"/>
    <n v="2244"/>
    <n v="2306"/>
    <n v="772"/>
    <n v="4540"/>
    <n v="3912"/>
    <n v="0.74860937800000005"/>
    <n v="1.860734672"/>
    <n v="1644"/>
    <n v="865"/>
    <n v="8"/>
    <n v="1.5941674939999999"/>
    <n v="0.87515897600000003"/>
    <b v="0"/>
    <n v="0.43704006499999998"/>
    <n v="1"/>
    <s v="Jan"/>
    <n v="2025"/>
    <s v="Q1"/>
  </r>
  <r>
    <n v="16"/>
    <x v="15"/>
    <x v="1"/>
    <n v="3232"/>
    <n v="1442"/>
    <n v="3692"/>
    <n v="574"/>
    <n v="3863"/>
    <n v="0.63863409100000001"/>
    <n v="2.4858872669999998"/>
    <n v="2449"/>
    <n v="3677"/>
    <n v="5"/>
    <n v="1.093358439"/>
    <n v="0.895743925"/>
    <b v="0"/>
    <n v="0.63900245300000003"/>
    <n v="1"/>
    <s v="Jan"/>
    <n v="2025"/>
    <s v="Q1"/>
  </r>
  <r>
    <n v="17"/>
    <x v="16"/>
    <x v="0"/>
    <n v="1701"/>
    <n v="2561"/>
    <n v="3961"/>
    <n v="3650"/>
    <n v="1196"/>
    <n v="0.21318330999999999"/>
    <n v="0.54535089199999998"/>
    <n v="2577"/>
    <n v="699"/>
    <n v="7"/>
    <n v="1.898361701"/>
    <n v="0.95974964799999996"/>
    <b v="0"/>
    <n v="0.326042518"/>
    <n v="1"/>
    <s v="Jan"/>
    <n v="2025"/>
    <s v="Q1"/>
  </r>
  <r>
    <n v="18"/>
    <x v="17"/>
    <x v="1"/>
    <n v="4044"/>
    <n v="3825"/>
    <n v="2580"/>
    <n v="1441"/>
    <n v="2870"/>
    <n v="0.59740393599999997"/>
    <n v="1.9296214279999999"/>
    <n v="1564"/>
    <n v="3930"/>
    <n v="1"/>
    <n v="1.584761799"/>
    <n v="0.93458041800000002"/>
    <b v="0"/>
    <n v="0.80498773499999998"/>
    <n v="1"/>
    <s v="Jan"/>
    <n v="2025"/>
    <s v="Q1"/>
  </r>
  <r>
    <n v="19"/>
    <x v="18"/>
    <x v="3"/>
    <n v="2747"/>
    <n v="2662"/>
    <n v="3756"/>
    <n v="2371"/>
    <n v="1509"/>
    <n v="0.64358992699999995"/>
    <n v="0.73328379099999996"/>
    <n v="3376"/>
    <n v="3750"/>
    <n v="7"/>
    <n v="0.82155084700000003"/>
    <n v="0.88551112399999998"/>
    <b v="0"/>
    <n v="0.53986099799999998"/>
    <n v="1"/>
    <s v="Jan"/>
    <n v="2025"/>
    <s v="Q1"/>
  </r>
  <r>
    <n v="20"/>
    <x v="19"/>
    <x v="2"/>
    <n v="4625"/>
    <n v="1555"/>
    <n v="1801"/>
    <n v="959"/>
    <n v="3039"/>
    <n v="0.43635160499999998"/>
    <n v="2.1449292560000002"/>
    <n v="1217"/>
    <n v="369"/>
    <n v="9"/>
    <n v="1.183871136"/>
    <n v="0.90072719599999995"/>
    <b v="0"/>
    <n v="0.92375306599999996"/>
    <n v="1"/>
    <s v="Jan"/>
    <n v="2025"/>
    <s v="Q1"/>
  </r>
  <r>
    <n v="21"/>
    <x v="20"/>
    <x v="1"/>
    <n v="1651"/>
    <n v="2079"/>
    <n v="518"/>
    <n v="2570"/>
    <n v="2781"/>
    <n v="0.32196842399999998"/>
    <n v="0.80895308499999996"/>
    <n v="1356"/>
    <n v="1061"/>
    <n v="7"/>
    <n v="1.9145707970000001"/>
    <n v="0.91873864299999997"/>
    <b v="0"/>
    <n v="0.31582175000000001"/>
    <n v="1"/>
    <s v="Jan"/>
    <n v="2025"/>
    <s v="Q1"/>
  </r>
  <r>
    <n v="22"/>
    <x v="21"/>
    <x v="2"/>
    <n v="1358"/>
    <n v="3832"/>
    <n v="3694"/>
    <n v="326"/>
    <n v="2370"/>
    <n v="0.51598263099999997"/>
    <n v="2.477615846"/>
    <n v="3266"/>
    <n v="2250"/>
    <n v="3"/>
    <n v="0.87111421200000005"/>
    <n v="0.88521544299999999"/>
    <b v="0"/>
    <n v="0.25592804600000002"/>
    <n v="1"/>
    <s v="Jan"/>
    <n v="2025"/>
    <s v="Q1"/>
  </r>
  <r>
    <n v="23"/>
    <x v="22"/>
    <x v="0"/>
    <n v="1790"/>
    <n v="1459"/>
    <n v="1854"/>
    <n v="1302"/>
    <n v="167"/>
    <n v="0.38543412500000002"/>
    <n v="2.8734032269999998"/>
    <n v="4390"/>
    <n v="2503"/>
    <n v="2"/>
    <n v="1.425137297"/>
    <n v="0.94633745899999999"/>
    <b v="0"/>
    <n v="0.34423548700000001"/>
    <n v="1"/>
    <s v="Jan"/>
    <n v="2025"/>
    <s v="Q1"/>
  </r>
  <r>
    <n v="24"/>
    <x v="23"/>
    <x v="3"/>
    <n v="758"/>
    <n v="1701"/>
    <n v="294"/>
    <n v="3482"/>
    <n v="943"/>
    <n v="0.78850075799999997"/>
    <n v="0.62904636199999997"/>
    <n v="583"/>
    <n v="1300"/>
    <n v="2"/>
    <n v="1.9855905570000001"/>
    <n v="0.98051443199999999"/>
    <b v="0"/>
    <n v="0.13327882299999999"/>
    <n v="1"/>
    <s v="Jan"/>
    <n v="2025"/>
    <s v="Q1"/>
  </r>
  <r>
    <n v="25"/>
    <x v="24"/>
    <x v="1"/>
    <n v="2667"/>
    <n v="2109"/>
    <n v="1759"/>
    <n v="2582"/>
    <n v="1063"/>
    <n v="0.55197753199999999"/>
    <n v="1.975170807"/>
    <n v="1254"/>
    <n v="1224"/>
    <n v="5"/>
    <n v="1.0760670830000001"/>
    <n v="0.81062144700000005"/>
    <b v="0"/>
    <n v="0.52350776799999998"/>
    <n v="1"/>
    <s v="Jan"/>
    <n v="2025"/>
    <s v="Q1"/>
  </r>
  <r>
    <n v="26"/>
    <x v="25"/>
    <x v="3"/>
    <n v="1377"/>
    <n v="511"/>
    <n v="3759"/>
    <n v="3057"/>
    <n v="159"/>
    <n v="0.29507999200000001"/>
    <n v="2.8261915040000001"/>
    <n v="1415"/>
    <n v="244"/>
    <n v="3"/>
    <n v="1.6789478250000001"/>
    <n v="0.88335641200000004"/>
    <b v="0"/>
    <n v="0.25981193800000002"/>
    <n v="1"/>
    <s v="Jan"/>
    <n v="2025"/>
    <s v="Q1"/>
  </r>
  <r>
    <n v="27"/>
    <x v="26"/>
    <x v="3"/>
    <n v="2000"/>
    <n v="4341"/>
    <n v="2212"/>
    <n v="3250"/>
    <n v="1688"/>
    <n v="0.77825652199999995"/>
    <n v="2.5328658580000001"/>
    <n v="1358"/>
    <n v="3439"/>
    <n v="7"/>
    <n v="1.552823592"/>
    <n v="0.84218625599999997"/>
    <b v="0"/>
    <n v="0.38716271499999999"/>
    <n v="1"/>
    <s v="Jan"/>
    <n v="2025"/>
    <s v="Q1"/>
  </r>
  <r>
    <n v="28"/>
    <x v="27"/>
    <x v="2"/>
    <n v="3699"/>
    <n v="662"/>
    <n v="3438"/>
    <n v="4074"/>
    <n v="490"/>
    <n v="0.73212248499999999"/>
    <n v="0.853091092"/>
    <n v="4912"/>
    <n v="1717"/>
    <n v="7"/>
    <n v="1.7936914180000001"/>
    <n v="0.84697674599999995"/>
    <b v="0"/>
    <n v="0.734464432"/>
    <n v="1"/>
    <s v="Jan"/>
    <n v="2025"/>
    <s v="Q1"/>
  </r>
  <r>
    <n v="29"/>
    <x v="28"/>
    <x v="1"/>
    <n v="157"/>
    <n v="4357"/>
    <n v="814"/>
    <n v="3210"/>
    <n v="805"/>
    <n v="0.76971665199999995"/>
    <n v="0.59767454799999997"/>
    <n v="4073"/>
    <n v="592"/>
    <n v="5"/>
    <n v="0.97904893299999995"/>
    <n v="0.83286004400000002"/>
    <b v="0"/>
    <n v="1.0425184000000001E-2"/>
    <n v="1"/>
    <s v="Jan"/>
    <n v="2025"/>
    <s v="Q1"/>
  </r>
  <r>
    <n v="30"/>
    <x v="29"/>
    <x v="3"/>
    <n v="3956"/>
    <n v="4461"/>
    <n v="3913"/>
    <n v="2905"/>
    <n v="3148"/>
    <n v="0.60968047800000003"/>
    <n v="0.74898323099999997"/>
    <n v="3624"/>
    <n v="1380"/>
    <n v="6"/>
    <n v="1.3250602899999999"/>
    <n v="0.80639933500000005"/>
    <b v="0"/>
    <n v="0.78699918199999996"/>
    <n v="1"/>
    <s v="Jan"/>
    <n v="2025"/>
    <s v="Q1"/>
  </r>
  <r>
    <n v="31"/>
    <x v="30"/>
    <x v="3"/>
    <n v="229"/>
    <n v="3194"/>
    <n v="1290"/>
    <n v="1984"/>
    <n v="1173"/>
    <n v="0.65397957399999995"/>
    <n v="1.5471045590000001"/>
    <n v="4640"/>
    <n v="571"/>
    <n v="2"/>
    <n v="1.5684392739999999"/>
    <n v="0.83101111299999997"/>
    <b v="0"/>
    <n v="2.5143090999999999E-2"/>
    <n v="1"/>
    <s v="Jan"/>
    <n v="2025"/>
    <s v="Q1"/>
  </r>
  <r>
    <n v="32"/>
    <x v="31"/>
    <x v="1"/>
    <n v="1045"/>
    <n v="2588"/>
    <n v="1293"/>
    <n v="2942"/>
    <n v="3060"/>
    <n v="0.25454321400000002"/>
    <n v="1.394562657"/>
    <n v="605"/>
    <n v="3220"/>
    <n v="4"/>
    <n v="1.5202681490000001"/>
    <n v="0.83999511900000001"/>
    <b v="0"/>
    <n v="0.19194603399999999"/>
    <n v="1"/>
    <s v="Feb"/>
    <n v="2025"/>
    <s v="Q1"/>
  </r>
  <r>
    <n v="33"/>
    <x v="32"/>
    <x v="3"/>
    <n v="781"/>
    <n v="3675"/>
    <n v="1934"/>
    <n v="4296"/>
    <n v="1712"/>
    <n v="0.68493485899999995"/>
    <n v="2.7214146000000001"/>
    <n v="3352"/>
    <n v="1193"/>
    <n v="2"/>
    <n v="0.68339923300000005"/>
    <n v="0.85841047400000003"/>
    <b v="0"/>
    <n v="0.13798037599999999"/>
    <n v="1"/>
    <s v="Feb"/>
    <n v="2025"/>
    <s v="Q1"/>
  </r>
  <r>
    <n v="34"/>
    <x v="33"/>
    <x v="1"/>
    <n v="3879"/>
    <n v="1360"/>
    <n v="874"/>
    <n v="303"/>
    <n v="3883"/>
    <n v="0.65802019"/>
    <n v="2.1670682499999998"/>
    <n v="2531"/>
    <n v="1045"/>
    <n v="4"/>
    <n v="1.0073852219999999"/>
    <n v="0.86993858899999998"/>
    <b v="0"/>
    <n v="0.77125919899999995"/>
    <n v="1"/>
    <s v="Feb"/>
    <n v="2025"/>
    <s v="Q1"/>
  </r>
  <r>
    <n v="35"/>
    <x v="34"/>
    <x v="1"/>
    <n v="888"/>
    <n v="578"/>
    <n v="2423"/>
    <n v="2372"/>
    <n v="1028"/>
    <n v="0.491121268"/>
    <n v="2.649812625"/>
    <n v="575"/>
    <n v="2453"/>
    <n v="4"/>
    <n v="1.171062112"/>
    <n v="0.81422571899999996"/>
    <b v="0"/>
    <n v="0.15985282100000001"/>
    <n v="1"/>
    <s v="Feb"/>
    <n v="2025"/>
    <s v="Q1"/>
  </r>
  <r>
    <n v="36"/>
    <x v="35"/>
    <x v="1"/>
    <n v="603"/>
    <n v="1075"/>
    <n v="2082"/>
    <n v="4657"/>
    <n v="1538"/>
    <n v="0.21037810800000001"/>
    <n v="2.3928111169999999"/>
    <n v="4666"/>
    <n v="3643"/>
    <n v="9"/>
    <n v="1.821081025"/>
    <n v="0.84361676100000005"/>
    <b v="0"/>
    <n v="0.10159443999999999"/>
    <n v="1"/>
    <s v="Feb"/>
    <n v="2025"/>
    <s v="Q1"/>
  </r>
  <r>
    <n v="37"/>
    <x v="36"/>
    <x v="2"/>
    <n v="2392"/>
    <n v="2664"/>
    <n v="2591"/>
    <n v="2970"/>
    <n v="633"/>
    <n v="0.37597636499999998"/>
    <n v="1.4265371760000001"/>
    <n v="2710"/>
    <n v="593"/>
    <n v="4"/>
    <n v="1.206829309"/>
    <n v="0.83048828900000005"/>
    <b v="0"/>
    <n v="0.46729354000000001"/>
    <n v="1"/>
    <s v="Feb"/>
    <n v="2025"/>
    <s v="Q1"/>
  </r>
  <r>
    <n v="38"/>
    <x v="37"/>
    <x v="0"/>
    <n v="4671"/>
    <n v="570"/>
    <n v="2423"/>
    <n v="4452"/>
    <n v="314"/>
    <n v="0.26252262799999998"/>
    <n v="1.1849343800000001"/>
    <n v="4492"/>
    <n v="445"/>
    <n v="6"/>
    <n v="1.314355723"/>
    <n v="0.96130278700000005"/>
    <b v="0"/>
    <n v="0.93315617299999998"/>
    <n v="1"/>
    <s v="Feb"/>
    <n v="2025"/>
    <s v="Q1"/>
  </r>
  <r>
    <n v="39"/>
    <x v="38"/>
    <x v="1"/>
    <n v="2945"/>
    <n v="1118"/>
    <n v="1940"/>
    <n v="4490"/>
    <n v="3376"/>
    <n v="0.496912307"/>
    <n v="1.855668109"/>
    <n v="4557"/>
    <n v="1269"/>
    <n v="2"/>
    <n v="1.514048549"/>
    <n v="0.85519584000000004"/>
    <b v="0"/>
    <n v="0.580335241"/>
    <n v="1"/>
    <s v="Feb"/>
    <n v="2025"/>
    <s v="Q1"/>
  </r>
  <r>
    <n v="40"/>
    <x v="39"/>
    <x v="2"/>
    <n v="1782"/>
    <n v="3524"/>
    <n v="1168"/>
    <n v="2668"/>
    <n v="3350"/>
    <n v="0.44592282900000002"/>
    <n v="0.50980294800000003"/>
    <n v="4558"/>
    <n v="363"/>
    <n v="6"/>
    <n v="1.443123758"/>
    <n v="0.93755751600000004"/>
    <b v="0"/>
    <n v="0.34260016399999998"/>
    <n v="1"/>
    <s v="Feb"/>
    <n v="2025"/>
    <s v="Q1"/>
  </r>
  <r>
    <n v="41"/>
    <x v="40"/>
    <x v="0"/>
    <n v="308"/>
    <n v="2478"/>
    <n v="1504"/>
    <n v="4762"/>
    <n v="499"/>
    <n v="0.29480615100000002"/>
    <n v="1.966868045"/>
    <n v="982"/>
    <n v="3149"/>
    <n v="3"/>
    <n v="0.83338060300000005"/>
    <n v="0.99007877099999997"/>
    <b v="0"/>
    <n v="4.1291904999999997E-2"/>
    <n v="1"/>
    <s v="Feb"/>
    <n v="2025"/>
    <s v="Q1"/>
  </r>
  <r>
    <n v="42"/>
    <x v="41"/>
    <x v="1"/>
    <n v="451"/>
    <n v="3797"/>
    <n v="3078"/>
    <n v="4426"/>
    <n v="3255"/>
    <n v="0.55093847200000001"/>
    <n v="1.448572196"/>
    <n v="2543"/>
    <n v="2542"/>
    <n v="1"/>
    <n v="1.035449512"/>
    <n v="0.81948848500000004"/>
    <b v="0"/>
    <n v="7.0523302999999996E-2"/>
    <n v="1"/>
    <s v="Feb"/>
    <n v="2025"/>
    <s v="Q1"/>
  </r>
  <r>
    <n v="43"/>
    <x v="42"/>
    <x v="0"/>
    <n v="2513"/>
    <n v="2903"/>
    <n v="2391"/>
    <n v="3653"/>
    <n v="3517"/>
    <n v="0.77771487299999997"/>
    <n v="1.7698773729999999"/>
    <n v="3301"/>
    <n v="1805"/>
    <n v="5"/>
    <n v="1.7401865409999999"/>
    <n v="0.97685809999999995"/>
    <b v="0"/>
    <n v="0.49202780000000002"/>
    <n v="1"/>
    <s v="Feb"/>
    <n v="2025"/>
    <s v="Q1"/>
  </r>
  <r>
    <n v="44"/>
    <x v="43"/>
    <x v="3"/>
    <n v="2391"/>
    <n v="3627"/>
    <n v="3704"/>
    <n v="2227"/>
    <n v="869"/>
    <n v="0.21095624700000001"/>
    <n v="2.8417039580000001"/>
    <n v="3649"/>
    <n v="2745"/>
    <n v="2"/>
    <n v="1.9121817000000001"/>
    <n v="0.840068763"/>
    <b v="0"/>
    <n v="0.46708912499999999"/>
    <n v="1"/>
    <s v="Feb"/>
    <n v="2025"/>
    <s v="Q1"/>
  </r>
  <r>
    <n v="45"/>
    <x v="44"/>
    <x v="1"/>
    <n v="4123"/>
    <n v="745"/>
    <n v="1672"/>
    <n v="775"/>
    <n v="2185"/>
    <n v="0.66748825599999995"/>
    <n v="1.432059805"/>
    <n v="842"/>
    <n v="193"/>
    <n v="3"/>
    <n v="1.2276625999999999"/>
    <n v="0.99152009600000002"/>
    <b v="0"/>
    <n v="0.82113654899999999"/>
    <n v="1"/>
    <s v="Feb"/>
    <n v="2025"/>
    <s v="Q1"/>
  </r>
  <r>
    <n v="46"/>
    <x v="45"/>
    <x v="1"/>
    <n v="1096"/>
    <n v="3784"/>
    <n v="1742"/>
    <n v="616"/>
    <n v="3454"/>
    <n v="0.46134839300000002"/>
    <n v="0.65654681199999998"/>
    <n v="1239"/>
    <n v="2292"/>
    <n v="5"/>
    <n v="1.2171697299999999"/>
    <n v="0.91287600999999996"/>
    <b v="0"/>
    <n v="0.20237121799999999"/>
    <n v="1"/>
    <s v="Feb"/>
    <n v="2025"/>
    <s v="Q1"/>
  </r>
  <r>
    <n v="47"/>
    <x v="46"/>
    <x v="1"/>
    <n v="1877"/>
    <n v="4330"/>
    <n v="1131"/>
    <n v="4319"/>
    <n v="3859"/>
    <n v="0.77003664299999997"/>
    <n v="2.0221526139999999"/>
    <n v="2173"/>
    <n v="3544"/>
    <n v="6"/>
    <n v="1.915310622"/>
    <n v="0.873756109"/>
    <b v="0"/>
    <n v="0.36201962399999998"/>
    <n v="1"/>
    <s v="Feb"/>
    <n v="2025"/>
    <s v="Q1"/>
  </r>
  <r>
    <n v="48"/>
    <x v="47"/>
    <x v="2"/>
    <n v="4154"/>
    <n v="2431"/>
    <n v="3950"/>
    <n v="2531"/>
    <n v="2872"/>
    <n v="0.40996965499999999"/>
    <n v="1.717481797"/>
    <n v="2835"/>
    <n v="1358"/>
    <n v="7"/>
    <n v="1.9313559579999999"/>
    <n v="0.91443762900000003"/>
    <b v="0"/>
    <n v="0.82747342599999996"/>
    <n v="1"/>
    <s v="Feb"/>
    <n v="2025"/>
    <s v="Q1"/>
  </r>
  <r>
    <n v="49"/>
    <x v="48"/>
    <x v="0"/>
    <n v="3863"/>
    <n v="1086"/>
    <n v="2694"/>
    <n v="3524"/>
    <n v="1597"/>
    <n v="0.620811852"/>
    <n v="2.1532607709999998"/>
    <n v="3863"/>
    <n v="429"/>
    <n v="9"/>
    <n v="0.76698919700000001"/>
    <n v="0.89378625300000003"/>
    <b v="0"/>
    <n v="0.76798855300000002"/>
    <n v="1"/>
    <s v="Feb"/>
    <n v="2025"/>
    <s v="Q1"/>
  </r>
  <r>
    <n v="50"/>
    <x v="49"/>
    <x v="2"/>
    <n v="1554"/>
    <n v="2221"/>
    <n v="1433"/>
    <n v="4757"/>
    <n v="2171"/>
    <n v="0.619280304"/>
    <n v="1.7676925290000001"/>
    <n v="3848"/>
    <n v="3934"/>
    <n v="8"/>
    <n v="0.61698024699999998"/>
    <n v="0.92205366799999999"/>
    <b v="0"/>
    <n v="0.29599345900000001"/>
    <n v="1"/>
    <s v="Feb"/>
    <n v="2025"/>
    <s v="Q1"/>
  </r>
  <r>
    <n v="51"/>
    <x v="50"/>
    <x v="1"/>
    <n v="1145"/>
    <n v="725"/>
    <n v="2919"/>
    <n v="3415"/>
    <n v="3984"/>
    <n v="0.60663636300000001"/>
    <n v="1.5176148410000001"/>
    <n v="103"/>
    <n v="3824"/>
    <n v="1"/>
    <n v="1.8977561060000001"/>
    <n v="0.85094592400000002"/>
    <b v="0"/>
    <n v="0.212387572"/>
    <n v="1"/>
    <s v="Feb"/>
    <n v="2025"/>
    <s v="Q1"/>
  </r>
  <r>
    <n v="52"/>
    <x v="51"/>
    <x v="0"/>
    <n v="3035"/>
    <n v="1763"/>
    <n v="686"/>
    <n v="1899"/>
    <n v="3507"/>
    <n v="0.418452661"/>
    <n v="1.6754366039999999"/>
    <n v="3504"/>
    <n v="1168"/>
    <n v="6"/>
    <n v="0.696734627"/>
    <n v="0.80602707299999998"/>
    <b v="0"/>
    <n v="0.59873262500000002"/>
    <n v="1"/>
    <s v="Feb"/>
    <n v="2025"/>
    <s v="Q1"/>
  </r>
  <r>
    <n v="53"/>
    <x v="52"/>
    <x v="1"/>
    <n v="1583"/>
    <n v="3180"/>
    <n v="2808"/>
    <n v="3311"/>
    <n v="3756"/>
    <n v="0.367839639"/>
    <n v="2.89166151"/>
    <n v="3056"/>
    <n v="1901"/>
    <n v="4"/>
    <n v="0.93055178000000005"/>
    <n v="0.89215687099999996"/>
    <b v="0"/>
    <n v="0.30192150400000001"/>
    <n v="1"/>
    <s v="Feb"/>
    <n v="2025"/>
    <s v="Q1"/>
  </r>
  <r>
    <n v="54"/>
    <x v="53"/>
    <x v="0"/>
    <n v="3223"/>
    <n v="1548"/>
    <n v="3669"/>
    <n v="3033"/>
    <n v="1624"/>
    <n v="0.65851878500000005"/>
    <n v="0.67234559699999996"/>
    <n v="4710"/>
    <n v="1865"/>
    <n v="5"/>
    <n v="0.542510151"/>
    <n v="0.96443574899999995"/>
    <b v="0"/>
    <n v="0.63716271499999999"/>
    <n v="1"/>
    <s v="Feb"/>
    <n v="2025"/>
    <s v="Q1"/>
  </r>
  <r>
    <n v="55"/>
    <x v="54"/>
    <x v="1"/>
    <n v="4713"/>
    <n v="713"/>
    <n v="2297"/>
    <n v="1132"/>
    <n v="3789"/>
    <n v="0.37078195000000003"/>
    <n v="2.1617673270000002"/>
    <n v="3187"/>
    <n v="2920"/>
    <n v="5"/>
    <n v="1.2544522950000001"/>
    <n v="0.93906279699999995"/>
    <b v="0"/>
    <n v="0.94174161899999997"/>
    <n v="1"/>
    <s v="Feb"/>
    <n v="2025"/>
    <s v="Q1"/>
  </r>
  <r>
    <n v="56"/>
    <x v="55"/>
    <x v="1"/>
    <n v="518"/>
    <n v="1473"/>
    <n v="666"/>
    <n v="559"/>
    <n v="2191"/>
    <n v="0.48907325400000001"/>
    <n v="2.2787186359999998"/>
    <n v="1810"/>
    <n v="3558"/>
    <n v="6"/>
    <n v="1.202394642"/>
    <n v="0.82843825599999998"/>
    <b v="0"/>
    <n v="8.4219133000000002E-2"/>
    <n v="1"/>
    <s v="Feb"/>
    <n v="2025"/>
    <s v="Q1"/>
  </r>
  <r>
    <n v="57"/>
    <x v="56"/>
    <x v="2"/>
    <n v="633"/>
    <n v="1331"/>
    <n v="1753"/>
    <n v="3002"/>
    <n v="708"/>
    <n v="0.29697170000000001"/>
    <n v="1.6240416369999999"/>
    <n v="4507"/>
    <n v="1837"/>
    <n v="8"/>
    <n v="1.2948742630000001"/>
    <n v="0.86707157000000001"/>
    <b v="0"/>
    <n v="0.107726901"/>
    <n v="1"/>
    <s v="Feb"/>
    <n v="2025"/>
    <s v="Q1"/>
  </r>
  <r>
    <n v="58"/>
    <x v="57"/>
    <x v="0"/>
    <n v="1911"/>
    <n v="3807"/>
    <n v="2924"/>
    <n v="3687"/>
    <n v="2798"/>
    <n v="0.41073805800000002"/>
    <n v="2.1100169819999999"/>
    <n v="1341"/>
    <n v="2096"/>
    <n v="3"/>
    <n v="1.4613397720000001"/>
    <n v="0.83754005600000003"/>
    <b v="0"/>
    <n v="0.36896974700000001"/>
    <n v="1"/>
    <s v="Feb"/>
    <n v="2025"/>
    <s v="Q1"/>
  </r>
  <r>
    <n v="59"/>
    <x v="58"/>
    <x v="1"/>
    <n v="3846"/>
    <n v="3617"/>
    <n v="495"/>
    <n v="1572"/>
    <n v="957"/>
    <n v="0.41893802099999999"/>
    <n v="2.2613639000000001"/>
    <n v="1987"/>
    <n v="671"/>
    <n v="3"/>
    <n v="1.264975661"/>
    <n v="0.88559364299999999"/>
    <b v="1"/>
    <n v="0.76451349099999999"/>
    <n v="1"/>
    <s v="Feb"/>
    <n v="2025"/>
    <s v="Q1"/>
  </r>
  <r>
    <n v="60"/>
    <x v="59"/>
    <x v="2"/>
    <n v="3068"/>
    <n v="1622"/>
    <n v="2919"/>
    <n v="2971"/>
    <n v="1480"/>
    <n v="0.74888749300000002"/>
    <n v="2.265233469"/>
    <n v="1751"/>
    <n v="2380"/>
    <n v="5"/>
    <n v="1.56443138"/>
    <n v="0.93819341199999995"/>
    <b v="0"/>
    <n v="0.60547833200000001"/>
    <n v="1"/>
    <s v="Mar"/>
    <n v="2025"/>
    <s v="Q1"/>
  </r>
  <r>
    <n v="61"/>
    <x v="60"/>
    <x v="2"/>
    <n v="1493"/>
    <n v="2546"/>
    <n v="2739"/>
    <n v="3939"/>
    <n v="1389"/>
    <n v="0.29955357399999999"/>
    <n v="2.6380693129999999"/>
    <n v="2311"/>
    <n v="2408"/>
    <n v="6"/>
    <n v="1.7232667800000001"/>
    <n v="0.80458188100000005"/>
    <b v="0"/>
    <n v="0.28352412100000002"/>
    <n v="1"/>
    <s v="Mar"/>
    <n v="2025"/>
    <s v="Q1"/>
  </r>
  <r>
    <n v="62"/>
    <x v="61"/>
    <x v="1"/>
    <n v="2136"/>
    <n v="984"/>
    <n v="730"/>
    <n v="3561"/>
    <n v="3802"/>
    <n v="0.77895869299999998"/>
    <n v="2.0245074089999999"/>
    <n v="2832"/>
    <n v="1003"/>
    <n v="5"/>
    <n v="1.504078684"/>
    <n v="0.81454211300000001"/>
    <b v="0"/>
    <n v="0.414963205"/>
    <n v="1"/>
    <s v="Mar"/>
    <n v="2025"/>
    <s v="Q1"/>
  </r>
  <r>
    <n v="63"/>
    <x v="62"/>
    <x v="1"/>
    <n v="1822"/>
    <n v="1041"/>
    <n v="766"/>
    <n v="1769"/>
    <n v="1654"/>
    <n v="0.31075621799999997"/>
    <n v="1.220216679"/>
    <n v="2532"/>
    <n v="3643"/>
    <n v="4"/>
    <n v="0.90850562099999999"/>
    <n v="0.82812306499999999"/>
    <b v="0"/>
    <n v="0.35077677800000001"/>
    <n v="1"/>
    <s v="Mar"/>
    <n v="2025"/>
    <s v="Q1"/>
  </r>
  <r>
    <n v="64"/>
    <x v="63"/>
    <x v="3"/>
    <n v="4441"/>
    <n v="3719"/>
    <n v="3403"/>
    <n v="1742"/>
    <n v="3055"/>
    <n v="0.75204453100000002"/>
    <n v="0.75635085800000001"/>
    <n v="4126"/>
    <n v="3163"/>
    <n v="7"/>
    <n v="0.96714608300000005"/>
    <n v="0.81386153699999997"/>
    <b v="0"/>
    <n v="0.88614063799999998"/>
    <n v="1"/>
    <s v="Mar"/>
    <n v="2025"/>
    <s v="Q1"/>
  </r>
  <r>
    <n v="65"/>
    <x v="64"/>
    <x v="2"/>
    <n v="402"/>
    <n v="3247"/>
    <n v="3288"/>
    <n v="1052"/>
    <n v="1450"/>
    <n v="0.21383413600000001"/>
    <n v="1.9631745650000001"/>
    <n v="3291"/>
    <n v="1775"/>
    <n v="1"/>
    <n v="1.31229855"/>
    <n v="0.84104573000000005"/>
    <b v="0"/>
    <n v="6.0506949999999997E-2"/>
    <n v="1"/>
    <s v="Mar"/>
    <n v="2025"/>
    <s v="Q1"/>
  </r>
  <r>
    <n v="66"/>
    <x v="65"/>
    <x v="1"/>
    <n v="3397"/>
    <n v="3124"/>
    <n v="722"/>
    <n v="4461"/>
    <n v="261"/>
    <n v="0.30986679"/>
    <n v="1.277252496"/>
    <n v="111"/>
    <n v="2927"/>
    <n v="7"/>
    <n v="0.99717749700000002"/>
    <n v="0.99334713299999999"/>
    <b v="0"/>
    <n v="0.67273098899999995"/>
    <n v="0"/>
    <s v="Mar"/>
    <n v="2025"/>
    <s v="Q1"/>
  </r>
  <r>
    <n v="67"/>
    <x v="66"/>
    <x v="0"/>
    <n v="4636"/>
    <n v="536"/>
    <n v="2209"/>
    <n v="4062"/>
    <n v="1534"/>
    <n v="0.61733526999999999"/>
    <n v="2.3387423959999998"/>
    <n v="4383"/>
    <n v="252"/>
    <n v="3"/>
    <n v="0.90601641300000002"/>
    <n v="0.90354796500000001"/>
    <b v="0"/>
    <n v="0.92600163499999999"/>
    <n v="1"/>
    <s v="Mar"/>
    <n v="2025"/>
    <s v="Q1"/>
  </r>
  <r>
    <n v="68"/>
    <x v="67"/>
    <x v="1"/>
    <n v="2438"/>
    <n v="3692"/>
    <n v="2565"/>
    <n v="343"/>
    <n v="2311"/>
    <n v="0.55572931299999995"/>
    <n v="0.90125054599999999"/>
    <n v="3865"/>
    <n v="2257"/>
    <n v="5"/>
    <n v="0.94468032800000001"/>
    <n v="0.92205493999999999"/>
    <b v="0"/>
    <n v="0.476696648"/>
    <n v="1"/>
    <s v="Mar"/>
    <n v="2025"/>
    <s v="Q1"/>
  </r>
  <r>
    <n v="69"/>
    <x v="68"/>
    <x v="3"/>
    <n v="1140"/>
    <n v="2315"/>
    <n v="721"/>
    <n v="3037"/>
    <n v="1152"/>
    <n v="0.61123249899999998"/>
    <n v="1.5642003040000001"/>
    <n v="4081"/>
    <n v="303"/>
    <n v="6"/>
    <n v="0.90320840300000005"/>
    <n v="0.89111526399999996"/>
    <b v="0"/>
    <n v="0.21136549499999999"/>
    <n v="1"/>
    <s v="Mar"/>
    <n v="2025"/>
    <s v="Q1"/>
  </r>
  <r>
    <n v="70"/>
    <x v="69"/>
    <x v="0"/>
    <n v="3488"/>
    <n v="557"/>
    <n v="3699"/>
    <n v="4184"/>
    <n v="2116"/>
    <n v="0.75373515199999996"/>
    <n v="2.1959058900000001"/>
    <n v="1058"/>
    <n v="966"/>
    <n v="5"/>
    <n v="1.2064107390000001"/>
    <n v="0.97010662999999997"/>
    <b v="0"/>
    <n v="0.69133278799999998"/>
    <n v="1"/>
    <s v="Mar"/>
    <n v="2025"/>
    <s v="Q1"/>
  </r>
  <r>
    <n v="71"/>
    <x v="70"/>
    <x v="2"/>
    <n v="2983"/>
    <n v="3747"/>
    <n v="3140"/>
    <n v="3005"/>
    <n v="3370"/>
    <n v="0.25905689199999998"/>
    <n v="2.8894201179999999"/>
    <n v="4171"/>
    <n v="1314"/>
    <n v="8"/>
    <n v="1.7100189690000001"/>
    <n v="0.98661869800000002"/>
    <b v="0"/>
    <n v="0.588103025"/>
    <n v="1"/>
    <s v="Mar"/>
    <n v="2025"/>
    <s v="Q1"/>
  </r>
  <r>
    <n v="72"/>
    <x v="71"/>
    <x v="3"/>
    <n v="2101"/>
    <n v="1216"/>
    <n v="1500"/>
    <n v="1169"/>
    <n v="2448"/>
    <n v="0.78276891500000001"/>
    <n v="0.63002220900000006"/>
    <n v="4167"/>
    <n v="1981"/>
    <n v="2"/>
    <n v="0.96164969300000003"/>
    <n v="0.85550812899999995"/>
    <b v="0"/>
    <n v="0.40780866700000001"/>
    <n v="1"/>
    <s v="Mar"/>
    <n v="2025"/>
    <s v="Q1"/>
  </r>
  <r>
    <n v="73"/>
    <x v="72"/>
    <x v="1"/>
    <n v="1672"/>
    <n v="3988"/>
    <n v="237"/>
    <n v="1658"/>
    <n v="2165"/>
    <n v="0.72929696099999997"/>
    <n v="1.3271387100000001"/>
    <n v="215"/>
    <n v="1660"/>
    <n v="7"/>
    <n v="1.1952111299999999"/>
    <n v="0.868685233"/>
    <b v="0"/>
    <n v="0.32011447300000001"/>
    <n v="1"/>
    <s v="Mar"/>
    <n v="2025"/>
    <s v="Q1"/>
  </r>
  <r>
    <n v="74"/>
    <x v="73"/>
    <x v="1"/>
    <n v="1292"/>
    <n v="884"/>
    <n v="3759"/>
    <n v="2785"/>
    <n v="648"/>
    <n v="0.51224952899999998"/>
    <n v="1.23067769"/>
    <n v="3036"/>
    <n v="538"/>
    <n v="2"/>
    <n v="0.61806653"/>
    <n v="0.93114803300000004"/>
    <b v="0"/>
    <n v="0.24243663100000001"/>
    <n v="1"/>
    <s v="Mar"/>
    <n v="2025"/>
    <s v="Q1"/>
  </r>
  <r>
    <n v="75"/>
    <x v="74"/>
    <x v="0"/>
    <n v="2358"/>
    <n v="3775"/>
    <n v="1666"/>
    <n v="2650"/>
    <n v="880"/>
    <n v="0.62292119700000004"/>
    <n v="0.88072814399999999"/>
    <n v="1818"/>
    <n v="2490"/>
    <n v="1"/>
    <n v="1.0285316920000001"/>
    <n v="0.936104084"/>
    <b v="1"/>
    <n v="0.460343418"/>
    <n v="1"/>
    <s v="Mar"/>
    <n v="2025"/>
    <s v="Q1"/>
  </r>
  <r>
    <n v="76"/>
    <x v="75"/>
    <x v="3"/>
    <n v="157"/>
    <n v="1956"/>
    <n v="1164"/>
    <n v="2890"/>
    <n v="755"/>
    <n v="0.50794940099999997"/>
    <n v="2.5495379800000002"/>
    <n v="4163"/>
    <n v="2652"/>
    <n v="3"/>
    <n v="0.66926541699999997"/>
    <n v="0.83386950199999998"/>
    <b v="0"/>
    <n v="1.0425184000000001E-2"/>
    <n v="1"/>
    <s v="Mar"/>
    <n v="2025"/>
    <s v="Q1"/>
  </r>
  <r>
    <n v="77"/>
    <x v="76"/>
    <x v="3"/>
    <n v="2463"/>
    <n v="1208"/>
    <n v="461"/>
    <n v="4228"/>
    <n v="1192"/>
    <n v="0.323031505"/>
    <n v="2.4256239079999999"/>
    <n v="454"/>
    <n v="3598"/>
    <n v="2"/>
    <n v="1.7347155460000001"/>
    <n v="0.86423627199999997"/>
    <b v="0"/>
    <n v="0.48180703200000002"/>
    <n v="1"/>
    <s v="Mar"/>
    <n v="2025"/>
    <s v="Q1"/>
  </r>
  <r>
    <n v="78"/>
    <x v="77"/>
    <x v="0"/>
    <n v="4917"/>
    <n v="2063"/>
    <n v="1852"/>
    <n v="399"/>
    <n v="2549"/>
    <n v="0.49882471900000003"/>
    <n v="1.3624023709999999"/>
    <n v="357"/>
    <n v="1562"/>
    <n v="4"/>
    <n v="0.63902759499999995"/>
    <n v="0.83358768400000005"/>
    <b v="1"/>
    <n v="0.98344235499999999"/>
    <n v="1"/>
    <s v="Mar"/>
    <n v="2025"/>
    <s v="Q1"/>
  </r>
  <r>
    <n v="79"/>
    <x v="78"/>
    <x v="2"/>
    <n v="1390"/>
    <n v="1884"/>
    <n v="1026"/>
    <n v="4725"/>
    <n v="2266"/>
    <n v="0.42911979099999997"/>
    <n v="1.7489767350000001"/>
    <n v="136"/>
    <n v="3201"/>
    <n v="8"/>
    <n v="1.8685573719999999"/>
    <n v="0.97036264999999999"/>
    <b v="0"/>
    <n v="0.262469338"/>
    <n v="1"/>
    <s v="Mar"/>
    <n v="2025"/>
    <s v="Q1"/>
  </r>
  <r>
    <n v="80"/>
    <x v="79"/>
    <x v="0"/>
    <n v="2857"/>
    <n v="1552"/>
    <n v="2432"/>
    <n v="4399"/>
    <n v="1432"/>
    <n v="0.37875914900000002"/>
    <n v="2.2173846880000001"/>
    <n v="3740"/>
    <n v="1551"/>
    <n v="6"/>
    <n v="0.95512614200000001"/>
    <n v="0.93636817800000005"/>
    <b v="0"/>
    <n v="0.56234668799999998"/>
    <n v="1"/>
    <s v="Mar"/>
    <n v="2025"/>
    <s v="Q1"/>
  </r>
  <r>
    <n v="81"/>
    <x v="80"/>
    <x v="0"/>
    <n v="1468"/>
    <n v="3237"/>
    <n v="3275"/>
    <n v="866"/>
    <n v="3888"/>
    <n v="0.65087324099999999"/>
    <n v="0.77146349199999997"/>
    <n v="3694"/>
    <n v="1850"/>
    <n v="3"/>
    <n v="1.6184688410000001"/>
    <n v="0.851640124"/>
    <b v="0"/>
    <n v="0.27841373699999999"/>
    <n v="0"/>
    <s v="Mar"/>
    <n v="2025"/>
    <s v="Q1"/>
  </r>
  <r>
    <n v="82"/>
    <x v="81"/>
    <x v="0"/>
    <n v="3313"/>
    <n v="1014"/>
    <n v="648"/>
    <n v="3617"/>
    <n v="900"/>
    <n v="0.765181942"/>
    <n v="0.54083847900000004"/>
    <n v="3874"/>
    <n v="1222"/>
    <n v="6"/>
    <n v="1.6937927159999999"/>
    <n v="0.88355072300000004"/>
    <b v="0"/>
    <n v="0.65556009800000004"/>
    <n v="1"/>
    <s v="Mar"/>
    <n v="2025"/>
    <s v="Q1"/>
  </r>
  <r>
    <n v="83"/>
    <x v="82"/>
    <x v="0"/>
    <n v="755"/>
    <n v="2123"/>
    <n v="3727"/>
    <n v="2370"/>
    <n v="2058"/>
    <n v="0.70190265399999996"/>
    <n v="0.54932712500000003"/>
    <n v="1736"/>
    <n v="1655"/>
    <n v="4"/>
    <n v="0.94081682700000002"/>
    <n v="0.90712166299999997"/>
    <b v="0"/>
    <n v="0.13266557600000001"/>
    <n v="1"/>
    <s v="Mar"/>
    <n v="2025"/>
    <s v="Q1"/>
  </r>
  <r>
    <n v="84"/>
    <x v="83"/>
    <x v="3"/>
    <n v="1589"/>
    <n v="1847"/>
    <n v="485"/>
    <n v="3529"/>
    <n v="2580"/>
    <n v="0.415514457"/>
    <n v="1.5567061689999999"/>
    <n v="1533"/>
    <n v="2619"/>
    <n v="5"/>
    <n v="1.8705968150000001"/>
    <n v="0.85949531099999998"/>
    <b v="0"/>
    <n v="0.303147997"/>
    <n v="1"/>
    <s v="Mar"/>
    <n v="2025"/>
    <s v="Q1"/>
  </r>
  <r>
    <n v="85"/>
    <x v="84"/>
    <x v="0"/>
    <n v="4509"/>
    <n v="3443"/>
    <n v="969"/>
    <n v="2261"/>
    <n v="1724"/>
    <n v="0.47524360199999999"/>
    <n v="2.9606460619999999"/>
    <n v="649"/>
    <n v="264"/>
    <n v="8"/>
    <n v="1.346726836"/>
    <n v="0.97373949199999998"/>
    <b v="0"/>
    <n v="0.90004088299999996"/>
    <n v="1"/>
    <s v="Mar"/>
    <n v="2025"/>
    <s v="Q1"/>
  </r>
  <r>
    <n v="86"/>
    <x v="85"/>
    <x v="0"/>
    <n v="1066"/>
    <n v="4020"/>
    <n v="420"/>
    <n v="2430"/>
    <n v="310"/>
    <n v="0.39572795199999999"/>
    <n v="2.665228157"/>
    <n v="1370"/>
    <n v="2174"/>
    <n v="3"/>
    <n v="1.506525967"/>
    <n v="0.86016052799999998"/>
    <b v="0"/>
    <n v="0.19623875700000001"/>
    <n v="1"/>
    <s v="Mar"/>
    <n v="2025"/>
    <s v="Q1"/>
  </r>
  <r>
    <n v="87"/>
    <x v="86"/>
    <x v="2"/>
    <n v="1322"/>
    <n v="1950"/>
    <n v="1021"/>
    <n v="4304"/>
    <n v="3347"/>
    <n v="0.35002087599999998"/>
    <n v="0.51372012300000003"/>
    <n v="1731"/>
    <n v="757"/>
    <n v="5"/>
    <n v="1.442088359"/>
    <n v="0.82837870000000002"/>
    <b v="0"/>
    <n v="0.24856909199999999"/>
    <n v="1"/>
    <s v="Mar"/>
    <n v="2025"/>
    <s v="Q1"/>
  </r>
  <r>
    <n v="88"/>
    <x v="87"/>
    <x v="0"/>
    <n v="1165"/>
    <n v="3764"/>
    <n v="3051"/>
    <n v="2581"/>
    <n v="2607"/>
    <n v="0.63747795600000001"/>
    <n v="2.2829254790000002"/>
    <n v="3135"/>
    <n v="671"/>
    <n v="2"/>
    <n v="1.6048380799999999"/>
    <n v="0.89285824300000005"/>
    <b v="0"/>
    <n v="0.21647587900000001"/>
    <n v="0"/>
    <s v="Mar"/>
    <n v="2025"/>
    <s v="Q1"/>
  </r>
  <r>
    <n v="89"/>
    <x v="88"/>
    <x v="1"/>
    <n v="720"/>
    <n v="811"/>
    <n v="3919"/>
    <n v="4158"/>
    <n v="3465"/>
    <n v="0.33735714300000003"/>
    <n v="2.356388897"/>
    <n v="4820"/>
    <n v="1195"/>
    <n v="6"/>
    <n v="0.71184607799999999"/>
    <n v="0.83976553600000003"/>
    <b v="0"/>
    <n v="0.12551103799999999"/>
    <n v="1"/>
    <s v="Mar"/>
    <n v="2025"/>
    <s v="Q1"/>
  </r>
  <r>
    <n v="90"/>
    <x v="89"/>
    <x v="3"/>
    <n v="2457"/>
    <n v="2138"/>
    <n v="1314"/>
    <n v="2488"/>
    <n v="1964"/>
    <n v="0.51604573899999995"/>
    <n v="1.2263914760000001"/>
    <n v="741"/>
    <n v="384"/>
    <n v="5"/>
    <n v="0.85816661500000002"/>
    <n v="0.90769096000000005"/>
    <b v="0"/>
    <n v="0.48058054"/>
    <n v="1"/>
    <s v="Mar"/>
    <n v="2025"/>
    <s v="Q1"/>
  </r>
  <r>
    <n v="91"/>
    <x v="90"/>
    <x v="3"/>
    <n v="3664"/>
    <n v="1791"/>
    <n v="781"/>
    <n v="4677"/>
    <n v="2630"/>
    <n v="0.69075649100000003"/>
    <n v="0.88238246799999998"/>
    <n v="4296"/>
    <n v="1408"/>
    <n v="4"/>
    <n v="1.7995976890000001"/>
    <n v="0.99471169699999995"/>
    <b v="0"/>
    <n v="0.72730989400000001"/>
    <n v="1"/>
    <s v="Apr"/>
    <n v="2025"/>
    <s v="Q2"/>
  </r>
  <r>
    <n v="92"/>
    <x v="91"/>
    <x v="0"/>
    <n v="3294"/>
    <n v="4385"/>
    <n v="2875"/>
    <n v="2448"/>
    <n v="912"/>
    <n v="0.64722676199999996"/>
    <n v="2.2278035009999999"/>
    <n v="999"/>
    <n v="1953"/>
    <n v="9"/>
    <n v="0.64554098900000001"/>
    <n v="0.94044679799999997"/>
    <b v="0"/>
    <n v="0.65167620599999998"/>
    <n v="1"/>
    <s v="Apr"/>
    <n v="2025"/>
    <s v="Q2"/>
  </r>
  <r>
    <n v="93"/>
    <x v="92"/>
    <x v="1"/>
    <n v="841"/>
    <n v="2286"/>
    <n v="1057"/>
    <n v="4799"/>
    <n v="866"/>
    <n v="0.62174735599999997"/>
    <n v="2.2057193860000002"/>
    <n v="3955"/>
    <n v="2943"/>
    <n v="1"/>
    <n v="0.87601787200000003"/>
    <n v="0.91674574799999997"/>
    <b v="0"/>
    <n v="0.150245298"/>
    <n v="1"/>
    <s v="Apr"/>
    <n v="2025"/>
    <s v="Q2"/>
  </r>
  <r>
    <n v="94"/>
    <x v="93"/>
    <x v="2"/>
    <n v="1797"/>
    <n v="1127"/>
    <n v="2096"/>
    <n v="1532"/>
    <n v="1073"/>
    <n v="0.20549857099999999"/>
    <n v="0.94148761299999995"/>
    <n v="2460"/>
    <n v="332"/>
    <n v="7"/>
    <n v="1.990775484"/>
    <n v="0.91322652599999998"/>
    <b v="0"/>
    <n v="0.34566639399999999"/>
    <n v="1"/>
    <s v="Apr"/>
    <n v="2025"/>
    <s v="Q2"/>
  </r>
  <r>
    <n v="95"/>
    <x v="94"/>
    <x v="1"/>
    <n v="541"/>
    <n v="2268"/>
    <n v="769"/>
    <n v="3307"/>
    <n v="1680"/>
    <n v="0.49201205199999998"/>
    <n v="2.1832800190000001"/>
    <n v="3734"/>
    <n v="3005"/>
    <n v="9"/>
    <n v="1.7478999930000001"/>
    <n v="0.949978141"/>
    <b v="0"/>
    <n v="8.8920686999999998E-2"/>
    <n v="1"/>
    <s v="Apr"/>
    <n v="2025"/>
    <s v="Q2"/>
  </r>
  <r>
    <n v="96"/>
    <x v="95"/>
    <x v="1"/>
    <n v="3200"/>
    <n v="4108"/>
    <n v="828"/>
    <n v="2628"/>
    <n v="2703"/>
    <n v="0.497577257"/>
    <n v="2.2977165350000002"/>
    <n v="1101"/>
    <n v="178"/>
    <n v="7"/>
    <n v="1.9983923219999999"/>
    <n v="0.96026262500000004"/>
    <b v="0"/>
    <n v="0.63246116100000005"/>
    <n v="1"/>
    <s v="Apr"/>
    <n v="2025"/>
    <s v="Q2"/>
  </r>
  <r>
    <n v="97"/>
    <x v="96"/>
    <x v="3"/>
    <n v="4688"/>
    <n v="1993"/>
    <n v="1140"/>
    <n v="4882"/>
    <n v="2743"/>
    <n v="0.55329136400000001"/>
    <n v="2.9106078530000001"/>
    <n v="4592"/>
    <n v="2408"/>
    <n v="9"/>
    <n v="0.87991774700000003"/>
    <n v="0.88802440800000004"/>
    <b v="0"/>
    <n v="0.93663123500000001"/>
    <n v="1"/>
    <s v="Apr"/>
    <n v="2025"/>
    <s v="Q2"/>
  </r>
  <r>
    <n v="98"/>
    <x v="97"/>
    <x v="3"/>
    <n v="1260"/>
    <n v="2917"/>
    <n v="2307"/>
    <n v="1793"/>
    <n v="848"/>
    <n v="0.21142614800000001"/>
    <n v="1.2506744519999999"/>
    <n v="4095"/>
    <n v="3259"/>
    <n v="7"/>
    <n v="1.6066810789999999"/>
    <n v="0.82045646999999999"/>
    <b v="0"/>
    <n v="0.23589533900000001"/>
    <n v="1"/>
    <s v="Apr"/>
    <n v="2025"/>
    <s v="Q2"/>
  </r>
  <r>
    <n v="99"/>
    <x v="98"/>
    <x v="3"/>
    <n v="801"/>
    <n v="3339"/>
    <n v="571"/>
    <n v="1210"/>
    <n v="800"/>
    <n v="0.65142160699999996"/>
    <n v="2.7740698770000001"/>
    <n v="2773"/>
    <n v="985"/>
    <n v="6"/>
    <n v="1.713719749"/>
    <n v="0.81626110200000002"/>
    <b v="0"/>
    <n v="0.142068684"/>
    <n v="1"/>
    <s v="Apr"/>
    <n v="2025"/>
    <s v="Q2"/>
  </r>
  <r>
    <n v="100"/>
    <x v="99"/>
    <x v="1"/>
    <n v="3964"/>
    <n v="1385"/>
    <n v="348"/>
    <n v="917"/>
    <n v="654"/>
    <n v="0.31797737100000001"/>
    <n v="2.7672425870000001"/>
    <n v="762"/>
    <n v="776"/>
    <n v="2"/>
    <n v="1.948354076"/>
    <n v="0.83188081300000005"/>
    <b v="0"/>
    <n v="0.78863450499999999"/>
    <n v="1"/>
    <s v="Apr"/>
    <n v="2025"/>
    <s v="Q2"/>
  </r>
  <r>
    <n v="101"/>
    <x v="100"/>
    <x v="0"/>
    <n v="4943"/>
    <n v="2588"/>
    <n v="3311"/>
    <n v="378"/>
    <n v="2052"/>
    <n v="0.465842955"/>
    <n v="1.345428286"/>
    <n v="129"/>
    <n v="1381"/>
    <n v="8"/>
    <n v="0.55236838200000005"/>
    <n v="0.88448313099999998"/>
    <b v="0"/>
    <n v="0.98875715500000005"/>
    <n v="1"/>
    <s v="Apr"/>
    <n v="2025"/>
    <s v="Q2"/>
  </r>
  <r>
    <n v="102"/>
    <x v="101"/>
    <x v="1"/>
    <n v="3960"/>
    <n v="677"/>
    <n v="1694"/>
    <n v="1090"/>
    <n v="2313"/>
    <n v="0.41280287199999999"/>
    <n v="0.57222969400000001"/>
    <n v="2461"/>
    <n v="3374"/>
    <n v="3"/>
    <n v="1.3633026690000001"/>
    <n v="0.98046948899999997"/>
    <b v="0"/>
    <n v="0.78781684399999996"/>
    <n v="1"/>
    <s v="Apr"/>
    <n v="2025"/>
    <s v="Q2"/>
  </r>
  <r>
    <n v="103"/>
    <x v="102"/>
    <x v="3"/>
    <n v="2156"/>
    <n v="1740"/>
    <n v="1399"/>
    <n v="3139"/>
    <n v="3741"/>
    <n v="0.238120215"/>
    <n v="0.95207047499999997"/>
    <n v="3614"/>
    <n v="2129"/>
    <n v="3"/>
    <n v="1.378935687"/>
    <n v="0.89715039100000005"/>
    <b v="0"/>
    <n v="0.41905151299999999"/>
    <n v="1"/>
    <s v="Apr"/>
    <n v="2025"/>
    <s v="Q2"/>
  </r>
  <r>
    <n v="104"/>
    <x v="103"/>
    <x v="2"/>
    <n v="4157"/>
    <n v="2360"/>
    <n v="3903"/>
    <n v="4885"/>
    <n v="1899"/>
    <n v="0.45078360299999998"/>
    <n v="1.882750363"/>
    <n v="3722"/>
    <n v="1158"/>
    <n v="2"/>
    <n v="1.459496943"/>
    <n v="0.97995066600000003"/>
    <b v="0"/>
    <n v="0.82808667199999997"/>
    <n v="1"/>
    <s v="Apr"/>
    <n v="2025"/>
    <s v="Q2"/>
  </r>
  <r>
    <n v="105"/>
    <x v="104"/>
    <x v="3"/>
    <n v="1636"/>
    <n v="2461"/>
    <n v="273"/>
    <n v="3597"/>
    <n v="278"/>
    <n v="0.62584945300000006"/>
    <n v="2.5346706929999998"/>
    <n v="1475"/>
    <n v="2590"/>
    <n v="3"/>
    <n v="1.8405753949999999"/>
    <n v="0.94493550100000001"/>
    <b v="0"/>
    <n v="0.31275551899999998"/>
    <n v="1"/>
    <s v="Apr"/>
    <n v="2025"/>
    <s v="Q2"/>
  </r>
  <r>
    <n v="106"/>
    <x v="105"/>
    <x v="2"/>
    <n v="2488"/>
    <n v="3137"/>
    <n v="3932"/>
    <n v="910"/>
    <n v="3036"/>
    <n v="0.31914465600000003"/>
    <n v="2.0693168279999998"/>
    <n v="3181"/>
    <n v="1720"/>
    <n v="1"/>
    <n v="1.01447939"/>
    <n v="0.95401569500000005"/>
    <b v="0"/>
    <n v="0.48691741599999999"/>
    <n v="1"/>
    <s v="Apr"/>
    <n v="2025"/>
    <s v="Q2"/>
  </r>
  <r>
    <n v="107"/>
    <x v="106"/>
    <x v="0"/>
    <n v="808"/>
    <n v="2245"/>
    <n v="1141"/>
    <n v="1630"/>
    <n v="1490"/>
    <n v="0.29004890799999999"/>
    <n v="1.626377765"/>
    <n v="2090"/>
    <n v="1617"/>
    <n v="9"/>
    <n v="1.673164651"/>
    <n v="0.93338901399999996"/>
    <b v="0"/>
    <n v="0.14349959100000001"/>
    <n v="1"/>
    <s v="Apr"/>
    <n v="2025"/>
    <s v="Q2"/>
  </r>
  <r>
    <n v="108"/>
    <x v="107"/>
    <x v="3"/>
    <n v="833"/>
    <n v="2801"/>
    <n v="3960"/>
    <n v="574"/>
    <n v="3221"/>
    <n v="0.354661897"/>
    <n v="1.63927969"/>
    <n v="1367"/>
    <n v="3403"/>
    <n v="5"/>
    <n v="0.61481428599999999"/>
    <n v="0.81615849500000004"/>
    <b v="0"/>
    <n v="0.14860997500000001"/>
    <n v="1"/>
    <s v="Apr"/>
    <n v="2025"/>
    <s v="Q2"/>
  </r>
  <r>
    <n v="109"/>
    <x v="108"/>
    <x v="3"/>
    <n v="4977"/>
    <n v="4319"/>
    <n v="655"/>
    <n v="2483"/>
    <n v="907"/>
    <n v="0.42292336400000002"/>
    <n v="2.287176235"/>
    <n v="2906"/>
    <n v="2344"/>
    <n v="8"/>
    <n v="0.50791328199999997"/>
    <n v="0.81399433200000004"/>
    <b v="0"/>
    <n v="0.99570727699999995"/>
    <n v="1"/>
    <s v="Apr"/>
    <n v="2025"/>
    <s v="Q2"/>
  </r>
  <r>
    <n v="110"/>
    <x v="109"/>
    <x v="1"/>
    <n v="3303"/>
    <n v="3394"/>
    <n v="1665"/>
    <n v="1776"/>
    <n v="3960"/>
    <n v="0.751815915"/>
    <n v="2.6301165000000002"/>
    <n v="4632"/>
    <n v="458"/>
    <n v="8"/>
    <n v="1.8822875189999999"/>
    <n v="0.85017722299999998"/>
    <b v="0"/>
    <n v="0.65351594400000002"/>
    <n v="0"/>
    <s v="Apr"/>
    <n v="2025"/>
    <s v="Q2"/>
  </r>
  <r>
    <n v="111"/>
    <x v="110"/>
    <x v="1"/>
    <n v="3680"/>
    <n v="1687"/>
    <n v="2284"/>
    <n v="4893"/>
    <n v="1496"/>
    <n v="0.41698896200000002"/>
    <n v="2.0658179959999998"/>
    <n v="4417"/>
    <n v="2734"/>
    <n v="4"/>
    <n v="1.6445570629999999"/>
    <n v="0.95043736700000003"/>
    <b v="0"/>
    <n v="0.73058053999999994"/>
    <n v="1"/>
    <s v="Apr"/>
    <n v="2025"/>
    <s v="Q2"/>
  </r>
  <r>
    <n v="112"/>
    <x v="111"/>
    <x v="0"/>
    <n v="341"/>
    <n v="1764"/>
    <n v="3823"/>
    <n v="4997"/>
    <n v="1337"/>
    <n v="0.49429843400000001"/>
    <n v="0.79443372000000001"/>
    <n v="3588"/>
    <n v="2352"/>
    <n v="3"/>
    <n v="0.67504552799999995"/>
    <n v="0.912559601"/>
    <b v="0"/>
    <n v="4.8037612E-2"/>
    <n v="1"/>
    <s v="Apr"/>
    <n v="2025"/>
    <s v="Q2"/>
  </r>
  <r>
    <n v="113"/>
    <x v="112"/>
    <x v="3"/>
    <n v="1497"/>
    <n v="1542"/>
    <n v="356"/>
    <n v="4215"/>
    <n v="1221"/>
    <n v="0.60860276000000002"/>
    <n v="2.1524324240000001"/>
    <n v="188"/>
    <n v="3062"/>
    <n v="8"/>
    <n v="0.75551795499999996"/>
    <n v="0.84237551799999999"/>
    <b v="0"/>
    <n v="0.28434178300000001"/>
    <n v="1"/>
    <s v="Apr"/>
    <n v="2025"/>
    <s v="Q2"/>
  </r>
  <r>
    <n v="114"/>
    <x v="113"/>
    <x v="2"/>
    <n v="4533"/>
    <n v="2813"/>
    <n v="1465"/>
    <n v="4530"/>
    <n v="1919"/>
    <n v="0.56836742900000004"/>
    <n v="1.7724458590000001"/>
    <n v="1698"/>
    <n v="3441"/>
    <n v="2"/>
    <n v="1.2483374039999999"/>
    <n v="0.83544018499999995"/>
    <b v="0"/>
    <n v="0.90494685200000002"/>
    <n v="1"/>
    <s v="Apr"/>
    <n v="2025"/>
    <s v="Q2"/>
  </r>
  <r>
    <n v="115"/>
    <x v="114"/>
    <x v="2"/>
    <n v="4398"/>
    <n v="2938"/>
    <n v="3773"/>
    <n v="1878"/>
    <n v="3229"/>
    <n v="0.22095399600000001"/>
    <n v="1.3593487500000001"/>
    <n v="2119"/>
    <n v="813"/>
    <n v="9"/>
    <n v="1.9505087889999999"/>
    <n v="0.92435745899999999"/>
    <b v="0"/>
    <n v="0.87735077699999997"/>
    <n v="1"/>
    <s v="Apr"/>
    <n v="2025"/>
    <s v="Q2"/>
  </r>
  <r>
    <n v="116"/>
    <x v="115"/>
    <x v="2"/>
    <n v="1842"/>
    <n v="837"/>
    <n v="2242"/>
    <n v="4510"/>
    <n v="832"/>
    <n v="0.48943181600000002"/>
    <n v="2.2385284670000001"/>
    <n v="3064"/>
    <n v="1276"/>
    <n v="2"/>
    <n v="0.57590456899999998"/>
    <n v="0.96088368199999996"/>
    <b v="0"/>
    <n v="0.354865086"/>
    <n v="1"/>
    <s v="Apr"/>
    <n v="2025"/>
    <s v="Q2"/>
  </r>
  <r>
    <n v="117"/>
    <x v="116"/>
    <x v="3"/>
    <n v="2361"/>
    <n v="862"/>
    <n v="3820"/>
    <n v="4185"/>
    <n v="3685"/>
    <n v="0.47930572199999999"/>
    <n v="2.8040910600000002"/>
    <n v="1692"/>
    <n v="3570"/>
    <n v="2"/>
    <n v="1.017131059"/>
    <n v="0.83107189699999995"/>
    <b v="0"/>
    <n v="0.46095666400000002"/>
    <n v="1"/>
    <s v="Apr"/>
    <n v="2025"/>
    <s v="Q2"/>
  </r>
  <r>
    <n v="118"/>
    <x v="117"/>
    <x v="2"/>
    <n v="368"/>
    <n v="3593"/>
    <n v="1148"/>
    <n v="3776"/>
    <n v="1403"/>
    <n v="0.64846006300000003"/>
    <n v="1.1158433350000001"/>
    <n v="4952"/>
    <n v="1064"/>
    <n v="5"/>
    <n v="0.76219406499999998"/>
    <n v="0.96888338100000004"/>
    <b v="0"/>
    <n v="5.3556827000000001E-2"/>
    <n v="1"/>
    <s v="Apr"/>
    <n v="2025"/>
    <s v="Q2"/>
  </r>
  <r>
    <n v="119"/>
    <x v="118"/>
    <x v="0"/>
    <n v="2774"/>
    <n v="4327"/>
    <n v="253"/>
    <n v="3363"/>
    <n v="3191"/>
    <n v="0.56524251299999995"/>
    <n v="0.69881341500000005"/>
    <n v="2937"/>
    <n v="3215"/>
    <n v="9"/>
    <n v="1.862146587"/>
    <n v="0.85739637000000002"/>
    <b v="0"/>
    <n v="0.54538021299999995"/>
    <n v="1"/>
    <s v="Apr"/>
    <n v="2025"/>
    <s v="Q2"/>
  </r>
  <r>
    <n v="120"/>
    <x v="119"/>
    <x v="3"/>
    <n v="4017"/>
    <n v="2945"/>
    <n v="3000"/>
    <n v="2436"/>
    <n v="427"/>
    <n v="0.68946912400000004"/>
    <n v="2.6766406360000001"/>
    <n v="2129"/>
    <n v="1164"/>
    <n v="7"/>
    <n v="1.961708569"/>
    <n v="0.80057292800000002"/>
    <b v="1"/>
    <n v="0.79946852000000002"/>
    <n v="1"/>
    <s v="Apr"/>
    <n v="2025"/>
    <s v="Q2"/>
  </r>
  <r>
    <n v="121"/>
    <x v="120"/>
    <x v="2"/>
    <n v="4537"/>
    <n v="2375"/>
    <n v="2908"/>
    <n v="2608"/>
    <n v="794"/>
    <n v="0.394555973"/>
    <n v="2.8596672399999998"/>
    <n v="3232"/>
    <n v="208"/>
    <n v="4"/>
    <n v="1.358119997"/>
    <n v="0.92667898800000004"/>
    <b v="0"/>
    <n v="0.90576451300000005"/>
    <n v="1"/>
    <s v="May"/>
    <n v="2025"/>
    <s v="Q2"/>
  </r>
  <r>
    <n v="122"/>
    <x v="121"/>
    <x v="2"/>
    <n v="2909"/>
    <n v="2841"/>
    <n v="2897"/>
    <n v="1338"/>
    <n v="1176"/>
    <n v="0.57349959500000003"/>
    <n v="2.495194213"/>
    <n v="721"/>
    <n v="214"/>
    <n v="8"/>
    <n v="1.003788074"/>
    <n v="0.840202754"/>
    <b v="0"/>
    <n v="0.572976288"/>
    <n v="1"/>
    <s v="May"/>
    <n v="2025"/>
    <s v="Q2"/>
  </r>
  <r>
    <n v="123"/>
    <x v="122"/>
    <x v="2"/>
    <n v="3745"/>
    <n v="1226"/>
    <n v="3968"/>
    <n v="1659"/>
    <n v="259"/>
    <n v="0.39852681099999998"/>
    <n v="1.5980768869999999"/>
    <n v="3386"/>
    <n v="2699"/>
    <n v="9"/>
    <n v="1.7549934540000001"/>
    <n v="0.97876008199999998"/>
    <b v="1"/>
    <n v="0.74386753900000002"/>
    <n v="1"/>
    <s v="May"/>
    <n v="2025"/>
    <s v="Q2"/>
  </r>
  <r>
    <n v="124"/>
    <x v="123"/>
    <x v="2"/>
    <n v="498"/>
    <n v="984"/>
    <n v="1730"/>
    <n v="4007"/>
    <n v="2503"/>
    <n v="0.40097323699999998"/>
    <n v="2.7476638580000001"/>
    <n v="1451"/>
    <n v="3014"/>
    <n v="2"/>
    <n v="1.6847299469999999"/>
    <n v="0.83045837"/>
    <b v="0"/>
    <n v="8.0130826000000002E-2"/>
    <n v="1"/>
    <s v="May"/>
    <n v="2025"/>
    <s v="Q2"/>
  </r>
  <r>
    <n v="125"/>
    <x v="124"/>
    <x v="2"/>
    <n v="342"/>
    <n v="1287"/>
    <n v="2277"/>
    <n v="1329"/>
    <n v="2441"/>
    <n v="0.56957503799999998"/>
    <n v="0.92185993200000005"/>
    <n v="1243"/>
    <n v="234"/>
    <n v="2"/>
    <n v="1.1137643420000001"/>
    <n v="0.92787226"/>
    <b v="0"/>
    <n v="4.8242027999999999E-2"/>
    <n v="1"/>
    <s v="May"/>
    <n v="2025"/>
    <s v="Q2"/>
  </r>
  <r>
    <n v="126"/>
    <x v="125"/>
    <x v="3"/>
    <n v="3108"/>
    <n v="1675"/>
    <n v="430"/>
    <n v="4768"/>
    <n v="903"/>
    <n v="0.72273145299999997"/>
    <n v="2.1627657610000002"/>
    <n v="3923"/>
    <n v="3108"/>
    <n v="3"/>
    <n v="0.91565773399999995"/>
    <n v="0.87941272000000004"/>
    <b v="0"/>
    <n v="0.61365494700000001"/>
    <n v="0"/>
    <s v="May"/>
    <n v="2025"/>
    <s v="Q2"/>
  </r>
  <r>
    <n v="127"/>
    <x v="126"/>
    <x v="0"/>
    <n v="3740"/>
    <n v="584"/>
    <n v="3353"/>
    <n v="308"/>
    <n v="3548"/>
    <n v="0.74532697199999998"/>
    <n v="1.5498882009999999"/>
    <n v="4635"/>
    <n v="2996"/>
    <n v="1"/>
    <n v="1.7359854729999999"/>
    <n v="0.905405656"/>
    <b v="0"/>
    <n v="0.74284546200000001"/>
    <n v="1"/>
    <s v="May"/>
    <n v="2025"/>
    <s v="Q2"/>
  </r>
  <r>
    <n v="128"/>
    <x v="127"/>
    <x v="1"/>
    <n v="212"/>
    <n v="3778"/>
    <n v="1704"/>
    <n v="1756"/>
    <n v="380"/>
    <n v="0.77774579399999999"/>
    <n v="1.8124596449999999"/>
    <n v="1052"/>
    <n v="1860"/>
    <n v="2"/>
    <n v="1.7219778080000001"/>
    <n v="0.91113201799999999"/>
    <b v="0"/>
    <n v="2.1668028999999998E-2"/>
    <n v="0"/>
    <s v="May"/>
    <n v="2025"/>
    <s v="Q2"/>
  </r>
  <r>
    <n v="129"/>
    <x v="128"/>
    <x v="2"/>
    <n v="2091"/>
    <n v="4136"/>
    <n v="2693"/>
    <n v="1553"/>
    <n v="104"/>
    <n v="0.373204066"/>
    <n v="0.92374942999999998"/>
    <n v="4022"/>
    <n v="3784"/>
    <n v="4"/>
    <n v="1.2374006799999999"/>
    <n v="0.86134999499999998"/>
    <b v="0"/>
    <n v="0.40576451299999999"/>
    <n v="1"/>
    <s v="May"/>
    <n v="2025"/>
    <s v="Q2"/>
  </r>
  <r>
    <n v="130"/>
    <x v="129"/>
    <x v="0"/>
    <n v="1191"/>
    <n v="1666"/>
    <n v="551"/>
    <n v="2634"/>
    <n v="611"/>
    <n v="0.437266082"/>
    <n v="2.9714971549999998"/>
    <n v="2863"/>
    <n v="3930"/>
    <n v="4"/>
    <n v="1.6465493010000001"/>
    <n v="0.96245386200000005"/>
    <b v="0"/>
    <n v="0.22179067899999999"/>
    <n v="1"/>
    <s v="May"/>
    <n v="2025"/>
    <s v="Q2"/>
  </r>
  <r>
    <n v="131"/>
    <x v="130"/>
    <x v="2"/>
    <n v="2067"/>
    <n v="768"/>
    <n v="637"/>
    <n v="3049"/>
    <n v="254"/>
    <n v="0.42760445899999999"/>
    <n v="2.2597226080000001"/>
    <n v="4207"/>
    <n v="631"/>
    <n v="4"/>
    <n v="1.9173483549999999"/>
    <n v="0.96810829700000001"/>
    <b v="0"/>
    <n v="0.40085854500000001"/>
    <n v="1"/>
    <s v="May"/>
    <n v="2025"/>
    <s v="Q2"/>
  </r>
  <r>
    <n v="132"/>
    <x v="131"/>
    <x v="3"/>
    <n v="1658"/>
    <n v="1690"/>
    <n v="3798"/>
    <n v="2019"/>
    <n v="716"/>
    <n v="0.783898278"/>
    <n v="0.73031800700000005"/>
    <n v="3104"/>
    <n v="3199"/>
    <n v="9"/>
    <n v="1.1046219880000001"/>
    <n v="0.92732164699999997"/>
    <b v="0"/>
    <n v="0.31725265699999999"/>
    <n v="1"/>
    <s v="May"/>
    <n v="2025"/>
    <s v="Q2"/>
  </r>
  <r>
    <n v="133"/>
    <x v="132"/>
    <x v="0"/>
    <n v="2959"/>
    <n v="981"/>
    <n v="3540"/>
    <n v="4174"/>
    <n v="1913"/>
    <n v="0.270147044"/>
    <n v="2.2341116630000002"/>
    <n v="3747"/>
    <n v="1101"/>
    <n v="1"/>
    <n v="1.8047898469999999"/>
    <n v="0.98436715399999997"/>
    <b v="0"/>
    <n v="0.58319705600000005"/>
    <n v="1"/>
    <s v="May"/>
    <n v="2025"/>
    <s v="Q2"/>
  </r>
  <r>
    <n v="134"/>
    <x v="133"/>
    <x v="1"/>
    <n v="3117"/>
    <n v="1329"/>
    <n v="2675"/>
    <n v="965"/>
    <n v="104"/>
    <n v="0.42144030999999998"/>
    <n v="2.5535926560000002"/>
    <n v="1224"/>
    <n v="1904"/>
    <n v="7"/>
    <n v="1.475893498"/>
    <n v="0.86833839099999999"/>
    <b v="0"/>
    <n v="0.61549468500000004"/>
    <n v="1"/>
    <s v="May"/>
    <n v="2025"/>
    <s v="Q2"/>
  </r>
  <r>
    <n v="135"/>
    <x v="134"/>
    <x v="3"/>
    <n v="4709"/>
    <n v="641"/>
    <n v="1729"/>
    <n v="4285"/>
    <n v="1226"/>
    <n v="0.56095430599999996"/>
    <n v="1.607110013"/>
    <n v="442"/>
    <n v="3839"/>
    <n v="8"/>
    <n v="1.0407336460000001"/>
    <n v="0.89115305199999995"/>
    <b v="0"/>
    <n v="0.94092395699999998"/>
    <n v="1"/>
    <s v="May"/>
    <n v="2025"/>
    <s v="Q2"/>
  </r>
  <r>
    <n v="136"/>
    <x v="135"/>
    <x v="1"/>
    <n v="1720"/>
    <n v="3560"/>
    <n v="2149"/>
    <n v="4818"/>
    <n v="3179"/>
    <n v="0.30136296400000001"/>
    <n v="1.0448650079999999"/>
    <n v="3996"/>
    <n v="1076"/>
    <n v="4"/>
    <n v="0.92033794099999999"/>
    <n v="0.94314341599999996"/>
    <b v="0"/>
    <n v="0.32992641"/>
    <n v="1"/>
    <s v="May"/>
    <n v="2025"/>
    <s v="Q2"/>
  </r>
  <r>
    <n v="137"/>
    <x v="136"/>
    <x v="1"/>
    <n v="1147"/>
    <n v="3032"/>
    <n v="3219"/>
    <n v="2222"/>
    <n v="203"/>
    <n v="0.54163091900000004"/>
    <n v="1.0745317190000001"/>
    <n v="1778"/>
    <n v="107"/>
    <n v="2"/>
    <n v="0.57381658999999996"/>
    <n v="0.90377893099999995"/>
    <b v="0"/>
    <n v="0.212796402"/>
    <n v="1"/>
    <s v="May"/>
    <n v="2025"/>
    <s v="Q2"/>
  </r>
  <r>
    <n v="138"/>
    <x v="137"/>
    <x v="3"/>
    <n v="506"/>
    <n v="2832"/>
    <n v="1636"/>
    <n v="347"/>
    <n v="3371"/>
    <n v="0.47522244600000002"/>
    <n v="2.6317870019999998"/>
    <n v="4351"/>
    <n v="1695"/>
    <n v="5"/>
    <n v="0.92683822400000004"/>
    <n v="0.81291133299999996"/>
    <b v="0"/>
    <n v="8.1766148999999996E-2"/>
    <n v="1"/>
    <s v="May"/>
    <n v="2025"/>
    <s v="Q2"/>
  </r>
  <r>
    <n v="139"/>
    <x v="138"/>
    <x v="2"/>
    <n v="179"/>
    <n v="3934"/>
    <n v="2094"/>
    <n v="2050"/>
    <n v="2935"/>
    <n v="0.79559569399999996"/>
    <n v="1.0197058489999999"/>
    <n v="2588"/>
    <n v="1956"/>
    <n v="8"/>
    <n v="1.00227142"/>
    <n v="0.88607306600000002"/>
    <b v="0"/>
    <n v="1.4922322E-2"/>
    <n v="1"/>
    <s v="May"/>
    <n v="2025"/>
    <s v="Q2"/>
  </r>
  <r>
    <n v="140"/>
    <x v="139"/>
    <x v="3"/>
    <n v="4626"/>
    <n v="2430"/>
    <n v="803"/>
    <n v="3365"/>
    <n v="344"/>
    <n v="0.22257073999999999"/>
    <n v="2.2263940180000001"/>
    <n v="3302"/>
    <n v="2932"/>
    <n v="2"/>
    <n v="0.92826912299999997"/>
    <n v="0.83369385600000001"/>
    <b v="0"/>
    <n v="0.92395748200000005"/>
    <n v="1"/>
    <s v="May"/>
    <n v="2025"/>
    <s v="Q2"/>
  </r>
  <r>
    <n v="141"/>
    <x v="140"/>
    <x v="2"/>
    <n v="4369"/>
    <n v="3924"/>
    <n v="2050"/>
    <n v="2556"/>
    <n v="129"/>
    <n v="0.59833610199999998"/>
    <n v="1.065487458"/>
    <n v="4533"/>
    <n v="3658"/>
    <n v="2"/>
    <n v="1.9005280179999999"/>
    <n v="0.95933762099999997"/>
    <b v="0"/>
    <n v="0.87142273100000001"/>
    <n v="1"/>
    <s v="May"/>
    <n v="2025"/>
    <s v="Q2"/>
  </r>
  <r>
    <n v="142"/>
    <x v="141"/>
    <x v="0"/>
    <n v="4067"/>
    <n v="614"/>
    <n v="2717"/>
    <n v="2649"/>
    <n v="2360"/>
    <n v="0.228372826"/>
    <n v="2.6978512490000002"/>
    <n v="4540"/>
    <n v="2859"/>
    <n v="9"/>
    <n v="0.65746486999999998"/>
    <n v="0.94525810899999996"/>
    <b v="0"/>
    <n v="0.80968928900000003"/>
    <n v="1"/>
    <s v="May"/>
    <n v="2025"/>
    <s v="Q2"/>
  </r>
  <r>
    <n v="143"/>
    <x v="142"/>
    <x v="1"/>
    <n v="3756"/>
    <n v="1405"/>
    <n v="2780"/>
    <n v="2201"/>
    <n v="316"/>
    <n v="0.69687339100000001"/>
    <n v="2.921015148"/>
    <n v="4698"/>
    <n v="1220"/>
    <n v="2"/>
    <n v="0.982543414"/>
    <n v="0.89470226500000005"/>
    <b v="0"/>
    <n v="0.74611610799999994"/>
    <n v="1"/>
    <s v="May"/>
    <n v="2025"/>
    <s v="Q2"/>
  </r>
  <r>
    <n v="144"/>
    <x v="143"/>
    <x v="0"/>
    <n v="351"/>
    <n v="734"/>
    <n v="1904"/>
    <n v="4813"/>
    <n v="2526"/>
    <n v="0.29129231"/>
    <n v="2.0219875759999999"/>
    <n v="2176"/>
    <n v="2239"/>
    <n v="8"/>
    <n v="0.577633328"/>
    <n v="0.97770418000000003"/>
    <b v="0"/>
    <n v="5.0081766E-2"/>
    <n v="1"/>
    <s v="May"/>
    <n v="2025"/>
    <s v="Q2"/>
  </r>
  <r>
    <n v="145"/>
    <x v="144"/>
    <x v="3"/>
    <n v="3528"/>
    <n v="1809"/>
    <n v="3892"/>
    <n v="4879"/>
    <n v="2275"/>
    <n v="0.64017213299999998"/>
    <n v="2.232007641"/>
    <n v="3606"/>
    <n v="2869"/>
    <n v="7"/>
    <n v="1.945064474"/>
    <n v="0.97928020500000001"/>
    <b v="0"/>
    <n v="0.69950940299999997"/>
    <n v="1"/>
    <s v="May"/>
    <n v="2025"/>
    <s v="Q2"/>
  </r>
  <r>
    <n v="146"/>
    <x v="145"/>
    <x v="1"/>
    <n v="443"/>
    <n v="3139"/>
    <n v="2101"/>
    <n v="4629"/>
    <n v="1735"/>
    <n v="0.60696989300000004"/>
    <n v="1.848611394"/>
    <n v="3607"/>
    <n v="3125"/>
    <n v="3"/>
    <n v="1.0364004490000001"/>
    <n v="0.82463539200000002"/>
    <b v="1"/>
    <n v="6.8887980000000001E-2"/>
    <n v="0"/>
    <s v="May"/>
    <n v="2025"/>
    <s v="Q2"/>
  </r>
  <r>
    <n v="147"/>
    <x v="146"/>
    <x v="3"/>
    <n v="3731"/>
    <n v="4479"/>
    <n v="1046"/>
    <n v="1252"/>
    <n v="698"/>
    <n v="0.64242722100000005"/>
    <n v="2.2633268740000001"/>
    <n v="2932"/>
    <n v="1547"/>
    <n v="2"/>
    <n v="0.58013606900000003"/>
    <n v="0.95241662999999999"/>
    <b v="0"/>
    <n v="0.74100572399999998"/>
    <n v="1"/>
    <s v="May"/>
    <n v="2025"/>
    <s v="Q2"/>
  </r>
  <r>
    <n v="148"/>
    <x v="147"/>
    <x v="0"/>
    <n v="2310"/>
    <n v="4024"/>
    <n v="2678"/>
    <n v="1199"/>
    <n v="2654"/>
    <n v="0.241943558"/>
    <n v="1.7517979290000001"/>
    <n v="873"/>
    <n v="1425"/>
    <n v="8"/>
    <n v="0.63049569599999999"/>
    <n v="0.95308952899999999"/>
    <b v="0"/>
    <n v="0.45053147999999998"/>
    <n v="1"/>
    <s v="May"/>
    <n v="2025"/>
    <s v="Q2"/>
  </r>
  <r>
    <n v="149"/>
    <x v="148"/>
    <x v="1"/>
    <n v="3342"/>
    <n v="3840"/>
    <n v="3105"/>
    <n v="4770"/>
    <n v="189"/>
    <n v="0.71190382600000002"/>
    <n v="2.6907398269999998"/>
    <n v="4197"/>
    <n v="1509"/>
    <n v="4"/>
    <n v="1.4159307160000001"/>
    <n v="0.94830784499999998"/>
    <b v="0"/>
    <n v="0.661488144"/>
    <n v="1"/>
    <s v="May"/>
    <n v="2025"/>
    <s v="Q2"/>
  </r>
  <r>
    <n v="150"/>
    <x v="149"/>
    <x v="0"/>
    <n v="263"/>
    <n v="3099"/>
    <n v="673"/>
    <n v="890"/>
    <n v="3501"/>
    <n v="0.48984872400000001"/>
    <n v="0.82181359700000001"/>
    <n v="4766"/>
    <n v="3521"/>
    <n v="1"/>
    <n v="1.436641579"/>
    <n v="0.96294782700000003"/>
    <b v="0"/>
    <n v="3.2093213000000002E-2"/>
    <n v="1"/>
    <s v="May"/>
    <n v="2025"/>
    <s v="Q2"/>
  </r>
  <r>
    <n v="151"/>
    <x v="150"/>
    <x v="2"/>
    <n v="2782"/>
    <n v="1789"/>
    <n v="3468"/>
    <n v="1353"/>
    <n v="3155"/>
    <n v="0.482448602"/>
    <n v="2.7111566869999999"/>
    <n v="3129"/>
    <n v="1275"/>
    <n v="3"/>
    <n v="1.2297406099999999"/>
    <n v="0.88547857399999996"/>
    <b v="0"/>
    <n v="0.54701553599999997"/>
    <n v="1"/>
    <s v="May"/>
    <n v="2025"/>
    <s v="Q2"/>
  </r>
  <r>
    <n v="152"/>
    <x v="151"/>
    <x v="2"/>
    <n v="1708"/>
    <n v="2776"/>
    <n v="2530"/>
    <n v="3191"/>
    <n v="1184"/>
    <n v="0.48184764299999999"/>
    <n v="0.914745578"/>
    <n v="904"/>
    <n v="325"/>
    <n v="3"/>
    <n v="0.99243768600000004"/>
    <n v="0.97013881300000004"/>
    <b v="0"/>
    <n v="0.32747342600000001"/>
    <n v="1"/>
    <s v="Jun"/>
    <n v="2025"/>
    <s v="Q2"/>
  </r>
  <r>
    <n v="153"/>
    <x v="152"/>
    <x v="1"/>
    <n v="4516"/>
    <n v="1375"/>
    <n v="1452"/>
    <n v="4540"/>
    <n v="1505"/>
    <n v="0.59873691500000004"/>
    <n v="2.7833613509999999"/>
    <n v="4051"/>
    <n v="3058"/>
    <n v="3"/>
    <n v="0.75349814199999998"/>
    <n v="0.90323023899999999"/>
    <b v="0"/>
    <n v="0.90147179099999997"/>
    <n v="1"/>
    <s v="Jun"/>
    <n v="2025"/>
    <s v="Q2"/>
  </r>
  <r>
    <n v="154"/>
    <x v="153"/>
    <x v="2"/>
    <n v="3084"/>
    <n v="2538"/>
    <n v="1657"/>
    <n v="3452"/>
    <n v="749"/>
    <n v="0.52140952100000004"/>
    <n v="2.0527979159999998"/>
    <n v="4121"/>
    <n v="2860"/>
    <n v="9"/>
    <n v="1.927641194"/>
    <n v="0.80540709499999996"/>
    <b v="0"/>
    <n v="0.60874897800000005"/>
    <n v="1"/>
    <s v="Jun"/>
    <n v="2025"/>
    <s v="Q2"/>
  </r>
  <r>
    <n v="155"/>
    <x v="154"/>
    <x v="2"/>
    <n v="2013"/>
    <n v="1308"/>
    <n v="1024"/>
    <n v="2422"/>
    <n v="1561"/>
    <n v="0.57499949500000003"/>
    <n v="0.59011329099999998"/>
    <n v="2391"/>
    <n v="3332"/>
    <n v="2"/>
    <n v="1.126522026"/>
    <n v="0.96081266200000004"/>
    <b v="0"/>
    <n v="0.389820114"/>
    <n v="1"/>
    <s v="Jun"/>
    <n v="2025"/>
    <s v="Q2"/>
  </r>
  <r>
    <n v="156"/>
    <x v="155"/>
    <x v="2"/>
    <n v="4925"/>
    <n v="4131"/>
    <n v="293"/>
    <n v="3693"/>
    <n v="1823"/>
    <n v="0.21577509"/>
    <n v="2.8185684649999998"/>
    <n v="752"/>
    <n v="3968"/>
    <n v="7"/>
    <n v="1.5555727479999999"/>
    <n v="0.93335460299999995"/>
    <b v="0"/>
    <n v="0.98507767800000001"/>
    <n v="1"/>
    <s v="Jun"/>
    <n v="2025"/>
    <s v="Q2"/>
  </r>
  <r>
    <n v="157"/>
    <x v="156"/>
    <x v="1"/>
    <n v="136"/>
    <n v="4325"/>
    <n v="2820"/>
    <n v="4213"/>
    <n v="1235"/>
    <n v="0.65068197800000005"/>
    <n v="2.6376852149999999"/>
    <n v="1785"/>
    <n v="1266"/>
    <n v="7"/>
    <n v="1.7482321510000001"/>
    <n v="0.82517341399999999"/>
    <b v="0"/>
    <n v="6.1324609999999996E-3"/>
    <n v="1"/>
    <s v="Jun"/>
    <n v="2025"/>
    <s v="Q2"/>
  </r>
  <r>
    <n v="158"/>
    <x v="157"/>
    <x v="3"/>
    <n v="171"/>
    <n v="2542"/>
    <n v="3650"/>
    <n v="1937"/>
    <n v="836"/>
    <n v="0.681183439"/>
    <n v="1.437626917"/>
    <n v="2211"/>
    <n v="3536"/>
    <n v="2"/>
    <n v="0.64971472100000005"/>
    <n v="0.83993691400000003"/>
    <b v="1"/>
    <n v="1.3286999000000001E-2"/>
    <n v="1"/>
    <s v="Jun"/>
    <n v="2025"/>
    <s v="Q2"/>
  </r>
  <r>
    <n v="159"/>
    <x v="158"/>
    <x v="2"/>
    <n v="3276"/>
    <n v="946"/>
    <n v="1139"/>
    <n v="4393"/>
    <n v="1550"/>
    <n v="0.29407204999999997"/>
    <n v="2.6081208650000001"/>
    <n v="3354"/>
    <n v="1392"/>
    <n v="3"/>
    <n v="1.500200406"/>
    <n v="0.88137565200000001"/>
    <b v="0"/>
    <n v="0.64799672900000005"/>
    <n v="1"/>
    <s v="Jun"/>
    <n v="2025"/>
    <s v="Q2"/>
  </r>
  <r>
    <n v="160"/>
    <x v="159"/>
    <x v="1"/>
    <n v="4219"/>
    <n v="1227"/>
    <n v="3744"/>
    <n v="1869"/>
    <n v="1374"/>
    <n v="0.733459105"/>
    <n v="0.68101807800000003"/>
    <n v="1223"/>
    <n v="845"/>
    <n v="7"/>
    <n v="1.283310175"/>
    <n v="0.87864861599999999"/>
    <b v="0"/>
    <n v="0.84076042500000003"/>
    <n v="1"/>
    <s v="Jun"/>
    <n v="2025"/>
    <s v="Q2"/>
  </r>
  <r>
    <n v="161"/>
    <x v="160"/>
    <x v="2"/>
    <n v="980"/>
    <n v="2368"/>
    <n v="2583"/>
    <n v="3398"/>
    <n v="2028"/>
    <n v="0.62225324699999995"/>
    <n v="1.7302007070000001"/>
    <n v="3518"/>
    <n v="2121"/>
    <n v="8"/>
    <n v="1.518100035"/>
    <n v="0.94127791400000005"/>
    <b v="1"/>
    <n v="0.17865903499999999"/>
    <n v="0"/>
    <s v="Jun"/>
    <n v="2025"/>
    <s v="Q2"/>
  </r>
  <r>
    <n v="162"/>
    <x v="161"/>
    <x v="0"/>
    <n v="4781"/>
    <n v="1209"/>
    <n v="2737"/>
    <n v="4752"/>
    <n v="2680"/>
    <n v="0.39727063400000001"/>
    <n v="1.080823466"/>
    <n v="2824"/>
    <n v="1847"/>
    <n v="9"/>
    <n v="1.964975597"/>
    <n v="0.87658470899999996"/>
    <b v="0"/>
    <n v="0.95564186399999995"/>
    <n v="1"/>
    <s v="Jun"/>
    <n v="2025"/>
    <s v="Q2"/>
  </r>
  <r>
    <n v="163"/>
    <x v="162"/>
    <x v="3"/>
    <n v="1718"/>
    <n v="2206"/>
    <n v="2113"/>
    <n v="1628"/>
    <n v="494"/>
    <n v="0.35332880999999999"/>
    <n v="1.858188656"/>
    <n v="1521"/>
    <n v="3481"/>
    <n v="9"/>
    <n v="1.6755991830000001"/>
    <n v="0.98766024799999996"/>
    <b v="0"/>
    <n v="0.32951757999999998"/>
    <n v="1"/>
    <s v="Jun"/>
    <n v="2025"/>
    <s v="Q2"/>
  </r>
  <r>
    <n v="164"/>
    <x v="163"/>
    <x v="1"/>
    <n v="3796"/>
    <n v="1916"/>
    <n v="791"/>
    <n v="3476"/>
    <n v="3786"/>
    <n v="0.35327866699999999"/>
    <n v="1.210657249"/>
    <n v="3497"/>
    <n v="709"/>
    <n v="4"/>
    <n v="1.580864373"/>
    <n v="0.87345121699999995"/>
    <b v="0"/>
    <n v="0.75429272300000005"/>
    <n v="1"/>
    <s v="Jun"/>
    <n v="2025"/>
    <s v="Q2"/>
  </r>
  <r>
    <n v="165"/>
    <x v="164"/>
    <x v="1"/>
    <n v="1916"/>
    <n v="2887"/>
    <n v="746"/>
    <n v="2801"/>
    <n v="1775"/>
    <n v="0.69925626399999996"/>
    <n v="1.787347891"/>
    <n v="603"/>
    <n v="3812"/>
    <n v="5"/>
    <n v="0.72179737499999996"/>
    <n v="0.88521607400000002"/>
    <b v="0"/>
    <n v="0.369991823"/>
    <n v="1"/>
    <s v="Jun"/>
    <n v="2025"/>
    <s v="Q2"/>
  </r>
  <r>
    <n v="166"/>
    <x v="165"/>
    <x v="2"/>
    <n v="4323"/>
    <n v="1580"/>
    <n v="573"/>
    <n v="1205"/>
    <n v="2378"/>
    <n v="0.51768784700000003"/>
    <n v="1.93181413"/>
    <n v="861"/>
    <n v="2856"/>
    <n v="1"/>
    <n v="0.73482848700000003"/>
    <n v="0.99494540899999995"/>
    <b v="0"/>
    <n v="0.86201962399999998"/>
    <n v="1"/>
    <s v="Jun"/>
    <n v="2025"/>
    <s v="Q2"/>
  </r>
  <r>
    <n v="167"/>
    <x v="166"/>
    <x v="0"/>
    <n v="2948"/>
    <n v="2453"/>
    <n v="3730"/>
    <n v="4199"/>
    <n v="1041"/>
    <n v="0.48285288799999998"/>
    <n v="1.4186869550000001"/>
    <n v="2943"/>
    <n v="216"/>
    <n v="1"/>
    <n v="1.822262864"/>
    <n v="0.80858918899999999"/>
    <b v="0"/>
    <n v="0.58094848700000001"/>
    <n v="1"/>
    <s v="Jun"/>
    <n v="2025"/>
    <s v="Q2"/>
  </r>
  <r>
    <n v="168"/>
    <x v="167"/>
    <x v="1"/>
    <n v="2263"/>
    <n v="2693"/>
    <n v="3191"/>
    <n v="2091"/>
    <n v="1097"/>
    <n v="0.77820051800000001"/>
    <n v="1.2698583409999999"/>
    <n v="3961"/>
    <n v="771"/>
    <n v="1"/>
    <n v="1.4130477669999999"/>
    <n v="0.879850723"/>
    <b v="0"/>
    <n v="0.44092395699999998"/>
    <n v="1"/>
    <s v="Jun"/>
    <n v="2025"/>
    <s v="Q2"/>
  </r>
  <r>
    <n v="169"/>
    <x v="168"/>
    <x v="1"/>
    <n v="3111"/>
    <n v="1302"/>
    <n v="1408"/>
    <n v="3047"/>
    <n v="2260"/>
    <n v="0.39422374999999998"/>
    <n v="2.5934935559999999"/>
    <n v="3656"/>
    <n v="184"/>
    <n v="4"/>
    <n v="1.6191378110000001"/>
    <n v="0.97724503699999998"/>
    <b v="0"/>
    <n v="0.61426819300000002"/>
    <n v="1"/>
    <s v="Jun"/>
    <n v="2025"/>
    <s v="Q2"/>
  </r>
  <r>
    <n v="170"/>
    <x v="169"/>
    <x v="2"/>
    <n v="4666"/>
    <n v="1794"/>
    <n v="1729"/>
    <n v="1012"/>
    <n v="149"/>
    <n v="0.29888695900000001"/>
    <n v="1.705181426"/>
    <n v="1675"/>
    <n v="2207"/>
    <n v="1"/>
    <n v="1.4565493620000001"/>
    <n v="0.84905927299999995"/>
    <b v="0"/>
    <n v="0.93213409599999997"/>
    <n v="1"/>
    <s v="Jun"/>
    <n v="2025"/>
    <s v="Q2"/>
  </r>
  <r>
    <n v="171"/>
    <x v="170"/>
    <x v="2"/>
    <n v="2604"/>
    <n v="1534"/>
    <n v="2454"/>
    <n v="4469"/>
    <n v="928"/>
    <n v="0.48101476399999998"/>
    <n v="2.5662066939999999"/>
    <n v="3888"/>
    <n v="255"/>
    <n v="7"/>
    <n v="1.7240210520000001"/>
    <n v="0.895657598"/>
    <b v="0"/>
    <n v="0.51062959900000005"/>
    <n v="1"/>
    <s v="Jun"/>
    <n v="2025"/>
    <s v="Q2"/>
  </r>
  <r>
    <n v="172"/>
    <x v="171"/>
    <x v="2"/>
    <n v="224"/>
    <n v="3441"/>
    <n v="1320"/>
    <n v="710"/>
    <n v="2863"/>
    <n v="0.71360012100000003"/>
    <n v="2.364114373"/>
    <n v="3490"/>
    <n v="3196"/>
    <n v="6"/>
    <n v="0.90896505299999997"/>
    <n v="0.90451152499999998"/>
    <b v="0"/>
    <n v="2.4121014E-2"/>
    <n v="1"/>
    <s v="Jun"/>
    <n v="2025"/>
    <s v="Q2"/>
  </r>
  <r>
    <n v="173"/>
    <x v="172"/>
    <x v="2"/>
    <n v="4041"/>
    <n v="2112"/>
    <n v="1410"/>
    <n v="2366"/>
    <n v="2226"/>
    <n v="0.36889062"/>
    <n v="1.0351383329999999"/>
    <n v="2726"/>
    <n v="3028"/>
    <n v="8"/>
    <n v="1.1378304850000001"/>
    <n v="0.94952659399999995"/>
    <b v="0"/>
    <n v="0.80437448899999997"/>
    <n v="0"/>
    <s v="Jun"/>
    <n v="2025"/>
    <s v="Q2"/>
  </r>
  <r>
    <n v="174"/>
    <x v="173"/>
    <x v="1"/>
    <n v="4794"/>
    <n v="3093"/>
    <n v="1216"/>
    <n v="2361"/>
    <n v="756"/>
    <n v="0.421032246"/>
    <n v="2.9018237789999999"/>
    <n v="199"/>
    <n v="1935"/>
    <n v="9"/>
    <n v="1.9354853590000001"/>
    <n v="0.89040138499999999"/>
    <b v="0"/>
    <n v="0.95829926399999998"/>
    <n v="0"/>
    <s v="Jun"/>
    <n v="2025"/>
    <s v="Q2"/>
  </r>
  <r>
    <n v="175"/>
    <x v="174"/>
    <x v="3"/>
    <n v="2616"/>
    <n v="1347"/>
    <n v="1797"/>
    <n v="2114"/>
    <n v="275"/>
    <n v="0.53131192800000004"/>
    <n v="2.2704919979999998"/>
    <n v="1058"/>
    <n v="1879"/>
    <n v="1"/>
    <n v="1.9032548229999999"/>
    <n v="0.985139553"/>
    <b v="0"/>
    <n v="0.51308258399999995"/>
    <n v="1"/>
    <s v="Jun"/>
    <n v="2025"/>
    <s v="Q2"/>
  </r>
  <r>
    <n v="176"/>
    <x v="175"/>
    <x v="0"/>
    <n v="2401"/>
    <n v="2410"/>
    <n v="1459"/>
    <n v="4615"/>
    <n v="1568"/>
    <n v="0.489932596"/>
    <n v="2.229825714"/>
    <n v="4723"/>
    <n v="2546"/>
    <n v="1"/>
    <n v="1.1203807880000001"/>
    <n v="0.93094125900000002"/>
    <b v="0"/>
    <n v="0.46913327900000001"/>
    <n v="1"/>
    <s v="Jun"/>
    <n v="2025"/>
    <s v="Q2"/>
  </r>
  <r>
    <n v="177"/>
    <x v="176"/>
    <x v="3"/>
    <n v="505"/>
    <n v="2417"/>
    <n v="3132"/>
    <n v="4732"/>
    <n v="2588"/>
    <n v="0.59754716699999999"/>
    <n v="0.91686341599999999"/>
    <n v="3965"/>
    <n v="2253"/>
    <n v="3"/>
    <n v="0.64502881499999998"/>
    <n v="0.99484482100000005"/>
    <b v="1"/>
    <n v="8.1561732999999997E-2"/>
    <n v="1"/>
    <s v="Jun"/>
    <n v="2025"/>
    <s v="Q2"/>
  </r>
  <r>
    <n v="178"/>
    <x v="177"/>
    <x v="3"/>
    <n v="3313"/>
    <n v="3227"/>
    <n v="2381"/>
    <n v="1678"/>
    <n v="1961"/>
    <n v="0.59899705299999995"/>
    <n v="1.5970237220000001"/>
    <n v="984"/>
    <n v="262"/>
    <n v="5"/>
    <n v="0.58537874499999998"/>
    <n v="0.89434662899999995"/>
    <b v="0"/>
    <n v="0.65556009800000004"/>
    <n v="1"/>
    <s v="Jun"/>
    <n v="2025"/>
    <s v="Q2"/>
  </r>
  <r>
    <n v="179"/>
    <x v="178"/>
    <x v="1"/>
    <n v="1988"/>
    <n v="1054"/>
    <n v="2901"/>
    <n v="822"/>
    <n v="2553"/>
    <n v="0.68911355100000005"/>
    <n v="1.208599714"/>
    <n v="3903"/>
    <n v="1261"/>
    <n v="4"/>
    <n v="0.67202550800000005"/>
    <n v="0.846921268"/>
    <b v="0"/>
    <n v="0.38470973000000003"/>
    <n v="1"/>
    <s v="Jun"/>
    <n v="2025"/>
    <s v="Q2"/>
  </r>
  <r>
    <n v="180"/>
    <x v="179"/>
    <x v="0"/>
    <n v="1574"/>
    <n v="2689"/>
    <n v="996"/>
    <n v="1222"/>
    <n v="1974"/>
    <n v="0.78255906399999997"/>
    <n v="1.02336535"/>
    <n v="3109"/>
    <n v="626"/>
    <n v="4"/>
    <n v="1.591572295"/>
    <n v="0.96628892099999997"/>
    <b v="0"/>
    <n v="0.30008176600000003"/>
    <n v="1"/>
    <s v="Jun"/>
    <n v="2025"/>
    <s v="Q2"/>
  </r>
  <r>
    <n v="181"/>
    <x v="180"/>
    <x v="2"/>
    <n v="2283"/>
    <n v="3000"/>
    <n v="2681"/>
    <n v="4587"/>
    <n v="1000"/>
    <n v="0.62781857699999999"/>
    <n v="2.410599452"/>
    <n v="4201"/>
    <n v="1560"/>
    <n v="4"/>
    <n v="1.2079151379999999"/>
    <n v="0.84315588900000005"/>
    <b v="0"/>
    <n v="0.44501226500000002"/>
    <n v="1"/>
    <s v="Jun"/>
    <n v="2025"/>
    <s v="Q2"/>
  </r>
  <r>
    <n v="182"/>
    <x v="181"/>
    <x v="3"/>
    <n v="1684"/>
    <n v="1398"/>
    <n v="2393"/>
    <n v="3148"/>
    <n v="3505"/>
    <n v="0.53193889800000005"/>
    <n v="2.1142935349999998"/>
    <n v="826"/>
    <n v="3675"/>
    <n v="4"/>
    <n v="1.1366507450000001"/>
    <n v="0.89530774400000002"/>
    <b v="0"/>
    <n v="0.322567457"/>
    <n v="1"/>
    <s v="Jul"/>
    <n v="2025"/>
    <s v="Q3"/>
  </r>
  <r>
    <n v="183"/>
    <x v="182"/>
    <x v="2"/>
    <n v="3888"/>
    <n v="1415"/>
    <n v="1575"/>
    <n v="4566"/>
    <n v="815"/>
    <n v="0.45874301200000001"/>
    <n v="1.7091498329999999"/>
    <n v="2273"/>
    <n v="272"/>
    <n v="5"/>
    <n v="1.860009158"/>
    <n v="0.88843518799999999"/>
    <b v="0"/>
    <n v="0.77309893699999999"/>
    <n v="1"/>
    <s v="Jul"/>
    <n v="2025"/>
    <s v="Q3"/>
  </r>
  <r>
    <n v="184"/>
    <x v="183"/>
    <x v="2"/>
    <n v="2824"/>
    <n v="4318"/>
    <n v="3070"/>
    <n v="2143"/>
    <n v="1620"/>
    <n v="0.20585711300000001"/>
    <n v="1.590129745"/>
    <n v="1908"/>
    <n v="3081"/>
    <n v="7"/>
    <n v="0.948651146"/>
    <n v="0.90778937800000004"/>
    <b v="0"/>
    <n v="0.55560098099999999"/>
    <n v="1"/>
    <s v="Jul"/>
    <n v="2025"/>
    <s v="Q3"/>
  </r>
  <r>
    <n v="185"/>
    <x v="184"/>
    <x v="0"/>
    <n v="3897"/>
    <n v="2854"/>
    <n v="3775"/>
    <n v="868"/>
    <n v="3171"/>
    <n v="0.27968343200000001"/>
    <n v="1.9581352510000001"/>
    <n v="3340"/>
    <n v="279"/>
    <n v="6"/>
    <n v="1.828826928"/>
    <n v="0.994793449"/>
    <b v="0"/>
    <n v="0.77493867500000002"/>
    <n v="0"/>
    <s v="Jul"/>
    <n v="2025"/>
    <s v="Q3"/>
  </r>
  <r>
    <n v="186"/>
    <x v="185"/>
    <x v="0"/>
    <n v="4697"/>
    <n v="1634"/>
    <n v="3366"/>
    <n v="1618"/>
    <n v="552"/>
    <n v="0.30085403500000002"/>
    <n v="2.7803318950000002"/>
    <n v="3223"/>
    <n v="2604"/>
    <n v="2"/>
    <n v="1.7306009570000001"/>
    <n v="0.91243925599999998"/>
    <b v="0"/>
    <n v="0.93847097300000004"/>
    <n v="1"/>
    <s v="Jul"/>
    <n v="2025"/>
    <s v="Q3"/>
  </r>
  <r>
    <n v="187"/>
    <x v="186"/>
    <x v="2"/>
    <n v="3113"/>
    <n v="2042"/>
    <n v="2696"/>
    <n v="2008"/>
    <n v="3857"/>
    <n v="0.75240975499999996"/>
    <n v="0.82339790400000001"/>
    <n v="4032"/>
    <n v="2181"/>
    <n v="6"/>
    <n v="1.3138065240000001"/>
    <n v="0.84912977999999995"/>
    <b v="0"/>
    <n v="0.61467702400000002"/>
    <n v="1"/>
    <s v="Jul"/>
    <n v="2025"/>
    <s v="Q3"/>
  </r>
  <r>
    <n v="188"/>
    <x v="187"/>
    <x v="0"/>
    <n v="2686"/>
    <n v="2451"/>
    <n v="292"/>
    <n v="1156"/>
    <n v="1389"/>
    <n v="0.431528474"/>
    <n v="1.8260223870000001"/>
    <n v="2646"/>
    <n v="3864"/>
    <n v="1"/>
    <n v="0.95088593200000004"/>
    <n v="0.86723186600000002"/>
    <b v="0"/>
    <n v="0.52739166000000004"/>
    <n v="1"/>
    <s v="Jul"/>
    <n v="2025"/>
    <s v="Q3"/>
  </r>
  <r>
    <n v="189"/>
    <x v="188"/>
    <x v="0"/>
    <n v="4333"/>
    <n v="4017"/>
    <n v="3083"/>
    <n v="3915"/>
    <n v="2170"/>
    <n v="0.62815096800000003"/>
    <n v="1.035718425"/>
    <n v="4524"/>
    <n v="872"/>
    <n v="9"/>
    <n v="0.82873761199999996"/>
    <n v="0.87828045799999999"/>
    <b v="0"/>
    <n v="0.864063778"/>
    <n v="1"/>
    <s v="Jul"/>
    <n v="2025"/>
    <s v="Q3"/>
  </r>
  <r>
    <n v="190"/>
    <x v="189"/>
    <x v="1"/>
    <n v="2976"/>
    <n v="3340"/>
    <n v="2774"/>
    <n v="2546"/>
    <n v="3943"/>
    <n v="0.45286332099999999"/>
    <n v="1.0570929520000001"/>
    <n v="502"/>
    <n v="3681"/>
    <n v="2"/>
    <n v="1.642658806"/>
    <n v="0.92785698699999997"/>
    <b v="1"/>
    <n v="0.58667211799999996"/>
    <n v="0"/>
    <s v="Jul"/>
    <n v="2025"/>
    <s v="Q3"/>
  </r>
  <r>
    <n v="191"/>
    <x v="190"/>
    <x v="2"/>
    <n v="1594"/>
    <n v="979"/>
    <n v="1195"/>
    <n v="3162"/>
    <n v="2914"/>
    <n v="0.23081215499999999"/>
    <n v="1.759691613"/>
    <n v="4107"/>
    <n v="2078"/>
    <n v="3"/>
    <n v="1.119102872"/>
    <n v="0.94733609399999996"/>
    <b v="0"/>
    <n v="0.30417007400000001"/>
    <n v="1"/>
    <s v="Jul"/>
    <n v="2025"/>
    <s v="Q3"/>
  </r>
  <r>
    <n v="192"/>
    <x v="191"/>
    <x v="0"/>
    <n v="2209"/>
    <n v="4231"/>
    <n v="394"/>
    <n v="1091"/>
    <n v="3913"/>
    <n v="0.36136568800000002"/>
    <n v="1.6423847110000001"/>
    <n v="1236"/>
    <n v="819"/>
    <n v="7"/>
    <n v="1.5497294049999999"/>
    <n v="0.84964452199999996"/>
    <b v="0"/>
    <n v="0.42988552699999999"/>
    <n v="1"/>
    <s v="Jul"/>
    <n v="2025"/>
    <s v="Q3"/>
  </r>
  <r>
    <n v="193"/>
    <x v="192"/>
    <x v="3"/>
    <n v="1404"/>
    <n v="4017"/>
    <n v="1578"/>
    <n v="4450"/>
    <n v="1917"/>
    <n v="0.278418159"/>
    <n v="0.55287500000000001"/>
    <n v="156"/>
    <n v="868"/>
    <n v="3"/>
    <n v="1.9169544709999999"/>
    <n v="0.98688904099999997"/>
    <b v="1"/>
    <n v="0.26533115299999999"/>
    <n v="1"/>
    <s v="Jul"/>
    <n v="2025"/>
    <s v="Q3"/>
  </r>
  <r>
    <n v="194"/>
    <x v="193"/>
    <x v="3"/>
    <n v="1831"/>
    <n v="2907"/>
    <n v="3087"/>
    <n v="1125"/>
    <n v="2292"/>
    <n v="0.62373658499999995"/>
    <n v="1.0395250380000001"/>
    <n v="1029"/>
    <n v="1783"/>
    <n v="3"/>
    <n v="1.383727997"/>
    <n v="0.96873683700000002"/>
    <b v="0"/>
    <n v="0.35261651700000002"/>
    <n v="1"/>
    <s v="Jul"/>
    <n v="2025"/>
    <s v="Q3"/>
  </r>
  <r>
    <n v="195"/>
    <x v="194"/>
    <x v="1"/>
    <n v="1723"/>
    <n v="2285"/>
    <n v="1011"/>
    <n v="3181"/>
    <n v="1039"/>
    <n v="0.52076208099999999"/>
    <n v="0.61655145899999997"/>
    <n v="4797"/>
    <n v="3295"/>
    <n v="4"/>
    <n v="1.1488860759999999"/>
    <n v="0.97587244699999998"/>
    <b v="1"/>
    <n v="0.33053965699999999"/>
    <n v="1"/>
    <s v="Jul"/>
    <n v="2025"/>
    <s v="Q3"/>
  </r>
  <r>
    <n v="196"/>
    <x v="195"/>
    <x v="3"/>
    <n v="455"/>
    <n v="2509"/>
    <n v="1940"/>
    <n v="461"/>
    <n v="580"/>
    <n v="0.48715342"/>
    <n v="2.9006671769999999"/>
    <n v="4130"/>
    <n v="3000"/>
    <n v="9"/>
    <n v="1.760648035"/>
    <n v="0.85879610399999995"/>
    <b v="0"/>
    <n v="7.1340965000000006E-2"/>
    <n v="1"/>
    <s v="Jul"/>
    <n v="2025"/>
    <s v="Q3"/>
  </r>
  <r>
    <n v="197"/>
    <x v="196"/>
    <x v="3"/>
    <n v="1359"/>
    <n v="1224"/>
    <n v="916"/>
    <n v="1597"/>
    <n v="3411"/>
    <n v="0.73245067600000002"/>
    <n v="1.8203247300000001"/>
    <n v="1538"/>
    <n v="607"/>
    <n v="7"/>
    <n v="1.9390303360000001"/>
    <n v="0.89102196"/>
    <b v="0"/>
    <n v="0.25613246099999998"/>
    <n v="1"/>
    <s v="Jul"/>
    <n v="2025"/>
    <s v="Q3"/>
  </r>
  <r>
    <n v="198"/>
    <x v="197"/>
    <x v="3"/>
    <n v="288"/>
    <n v="529"/>
    <n v="1361"/>
    <n v="2535"/>
    <n v="1143"/>
    <n v="0.64892918700000002"/>
    <n v="1.237424579"/>
    <n v="2066"/>
    <n v="2815"/>
    <n v="1"/>
    <n v="1.6783503980000001"/>
    <n v="0.84678029200000005"/>
    <b v="0"/>
    <n v="3.7203597999999997E-2"/>
    <n v="1"/>
    <s v="Jul"/>
    <n v="2025"/>
    <s v="Q3"/>
  </r>
  <r>
    <n v="199"/>
    <x v="198"/>
    <x v="0"/>
    <n v="2566"/>
    <n v="1896"/>
    <n v="708"/>
    <n v="3887"/>
    <n v="2438"/>
    <n v="0.55208806700000002"/>
    <n v="1.5603130190000001"/>
    <n v="1438"/>
    <n v="1267"/>
    <n v="6"/>
    <n v="1.0179546660000001"/>
    <n v="0.80096255900000002"/>
    <b v="0"/>
    <n v="0.50286181500000005"/>
    <n v="1"/>
    <s v="Jul"/>
    <n v="2025"/>
    <s v="Q3"/>
  </r>
  <r>
    <n v="200"/>
    <x v="199"/>
    <x v="1"/>
    <n v="3497"/>
    <n v="1251"/>
    <n v="441"/>
    <n v="677"/>
    <n v="561"/>
    <n v="0.30469490199999999"/>
    <n v="1.2729889860000001"/>
    <n v="2527"/>
    <n v="875"/>
    <n v="3"/>
    <n v="1.0743554909999999"/>
    <n v="0.852968328"/>
    <b v="0"/>
    <n v="0.69317252699999998"/>
    <n v="1"/>
    <s v="Jul"/>
    <n v="2025"/>
    <s v="Q3"/>
  </r>
  <r>
    <n v="201"/>
    <x v="200"/>
    <x v="3"/>
    <n v="1993"/>
    <n v="879"/>
    <n v="730"/>
    <n v="3173"/>
    <n v="2680"/>
    <n v="0.74728703299999999"/>
    <n v="1.013481042"/>
    <n v="3473"/>
    <n v="2481"/>
    <n v="6"/>
    <n v="1.9281522250000001"/>
    <n v="0.98771805800000001"/>
    <b v="0"/>
    <n v="0.38573180699999998"/>
    <n v="1"/>
    <s v="Jul"/>
    <n v="2025"/>
    <s v="Q3"/>
  </r>
  <r>
    <n v="202"/>
    <x v="201"/>
    <x v="0"/>
    <n v="4380"/>
    <n v="2398"/>
    <n v="3454"/>
    <n v="2783"/>
    <n v="3226"/>
    <n v="0.66865526399999997"/>
    <n v="1.660205127"/>
    <n v="2074"/>
    <n v="2112"/>
    <n v="1"/>
    <n v="0.81874316800000002"/>
    <n v="0.90902302599999996"/>
    <b v="0"/>
    <n v="0.87367130000000004"/>
    <n v="1"/>
    <s v="Jul"/>
    <n v="2025"/>
    <s v="Q3"/>
  </r>
  <r>
    <n v="203"/>
    <x v="202"/>
    <x v="0"/>
    <n v="644"/>
    <n v="577"/>
    <n v="3817"/>
    <n v="3041"/>
    <n v="667"/>
    <n v="0.36091374100000001"/>
    <n v="1.674301418"/>
    <n v="2765"/>
    <n v="1195"/>
    <n v="4"/>
    <n v="0.70410256100000002"/>
    <n v="0.87382625899999999"/>
    <b v="0"/>
    <n v="0.10997547000000001"/>
    <n v="1"/>
    <s v="Jul"/>
    <n v="2025"/>
    <s v="Q3"/>
  </r>
  <r>
    <n v="204"/>
    <x v="203"/>
    <x v="2"/>
    <n v="2106"/>
    <n v="3244"/>
    <n v="1017"/>
    <n v="2320"/>
    <n v="2354"/>
    <n v="0.26859466700000001"/>
    <n v="1.558066738"/>
    <n v="2756"/>
    <n v="1076"/>
    <n v="7"/>
    <n v="0.98742524899999995"/>
    <n v="0.93652146300000005"/>
    <b v="0"/>
    <n v="0.40883074400000002"/>
    <n v="1"/>
    <s v="Jul"/>
    <n v="2025"/>
    <s v="Q3"/>
  </r>
  <r>
    <n v="205"/>
    <x v="204"/>
    <x v="3"/>
    <n v="3028"/>
    <n v="1579"/>
    <n v="1536"/>
    <n v="4493"/>
    <n v="1603"/>
    <n v="0.50101910299999997"/>
    <n v="2.3115727239999999"/>
    <n v="3062"/>
    <n v="3724"/>
    <n v="1"/>
    <n v="0.79635158299999997"/>
    <n v="0.92103614899999997"/>
    <b v="0"/>
    <n v="0.59730171700000001"/>
    <n v="1"/>
    <s v="Jul"/>
    <n v="2025"/>
    <s v="Q3"/>
  </r>
  <r>
    <n v="206"/>
    <x v="205"/>
    <x v="3"/>
    <n v="419"/>
    <n v="3620"/>
    <n v="1882"/>
    <n v="2001"/>
    <n v="3980"/>
    <n v="0.37651703600000003"/>
    <n v="2.7294735480000001"/>
    <n v="620"/>
    <n v="3262"/>
    <n v="1"/>
    <n v="0.56544245299999996"/>
    <n v="0.90090775499999998"/>
    <b v="0"/>
    <n v="6.3982011000000005E-2"/>
    <n v="1"/>
    <s v="Jul"/>
    <n v="2025"/>
    <s v="Q3"/>
  </r>
  <r>
    <n v="207"/>
    <x v="206"/>
    <x v="1"/>
    <n v="4057"/>
    <n v="1466"/>
    <n v="3542"/>
    <n v="1538"/>
    <n v="3136"/>
    <n v="0.62064339899999998"/>
    <n v="0.70602009399999999"/>
    <n v="1946"/>
    <n v="1391"/>
    <n v="6"/>
    <n v="1.629283367"/>
    <n v="0.88433542700000001"/>
    <b v="0"/>
    <n v="0.80764513500000001"/>
    <n v="1"/>
    <s v="Jul"/>
    <n v="2025"/>
    <s v="Q3"/>
  </r>
  <r>
    <n v="208"/>
    <x v="207"/>
    <x v="0"/>
    <n v="4072"/>
    <n v="2302"/>
    <n v="2941"/>
    <n v="1722"/>
    <n v="3627"/>
    <n v="0.203847061"/>
    <n v="1.9335094719999999"/>
    <n v="3089"/>
    <n v="3354"/>
    <n v="1"/>
    <n v="0.93410411100000001"/>
    <n v="0.95479435700000004"/>
    <b v="0"/>
    <n v="0.81071136499999996"/>
    <n v="1"/>
    <s v="Jul"/>
    <n v="2025"/>
    <s v="Q3"/>
  </r>
  <r>
    <n v="209"/>
    <x v="208"/>
    <x v="0"/>
    <n v="4267"/>
    <n v="712"/>
    <n v="1408"/>
    <n v="2524"/>
    <n v="2694"/>
    <n v="0.55153497699999998"/>
    <n v="1.736442939"/>
    <n v="884"/>
    <n v="402"/>
    <n v="9"/>
    <n v="0.69916336099999998"/>
    <n v="0.89777757599999997"/>
    <b v="0"/>
    <n v="0.85057236300000005"/>
    <n v="1"/>
    <s v="Jul"/>
    <n v="2025"/>
    <s v="Q3"/>
  </r>
  <r>
    <n v="210"/>
    <x v="209"/>
    <x v="2"/>
    <n v="3967"/>
    <n v="4036"/>
    <n v="2931"/>
    <n v="4389"/>
    <n v="3041"/>
    <n v="0.71825852800000001"/>
    <n v="2.2622200939999999"/>
    <n v="2853"/>
    <n v="693"/>
    <n v="1"/>
    <n v="0.93872869599999997"/>
    <n v="0.88417835300000003"/>
    <b v="1"/>
    <n v="0.789247751"/>
    <n v="0"/>
    <s v="Jul"/>
    <n v="2025"/>
    <s v="Q3"/>
  </r>
  <r>
    <n v="211"/>
    <x v="210"/>
    <x v="1"/>
    <n v="966"/>
    <n v="599"/>
    <n v="3578"/>
    <n v="2623"/>
    <n v="1706"/>
    <n v="0.52960177600000002"/>
    <n v="1.344479083"/>
    <n v="2448"/>
    <n v="207"/>
    <n v="8"/>
    <n v="0.57825206500000004"/>
    <n v="0.83757523199999995"/>
    <b v="0"/>
    <n v="0.17579722"/>
    <n v="1"/>
    <s v="Jul"/>
    <n v="2025"/>
    <s v="Q3"/>
  </r>
  <r>
    <n v="212"/>
    <x v="211"/>
    <x v="3"/>
    <n v="2168"/>
    <n v="3170"/>
    <n v="2764"/>
    <n v="2417"/>
    <n v="3787"/>
    <n v="0.36066396099999998"/>
    <n v="1.467598001"/>
    <n v="4407"/>
    <n v="1374"/>
    <n v="6"/>
    <n v="0.85218055699999995"/>
    <n v="0.81674427299999997"/>
    <b v="0"/>
    <n v="0.42150449699999998"/>
    <n v="1"/>
    <s v="Jul"/>
    <n v="2025"/>
    <s v="Q3"/>
  </r>
  <r>
    <n v="213"/>
    <x v="212"/>
    <x v="1"/>
    <n v="3538"/>
    <n v="1214"/>
    <n v="2654"/>
    <n v="372"/>
    <n v="634"/>
    <n v="0.289364063"/>
    <n v="1.982966692"/>
    <n v="472"/>
    <n v="297"/>
    <n v="1"/>
    <n v="1.19845661"/>
    <n v="0.833606497"/>
    <b v="0"/>
    <n v="0.70155355699999999"/>
    <n v="1"/>
    <s v="Aug"/>
    <n v="2025"/>
    <s v="Q3"/>
  </r>
  <r>
    <n v="214"/>
    <x v="213"/>
    <x v="0"/>
    <n v="1586"/>
    <n v="2176"/>
    <n v="261"/>
    <n v="2309"/>
    <n v="897"/>
    <n v="0.359803918"/>
    <n v="2.8693777389999999"/>
    <n v="1283"/>
    <n v="2415"/>
    <n v="7"/>
    <n v="0.73700627200000002"/>
    <n v="0.887496391"/>
    <b v="0"/>
    <n v="0.30253475099999999"/>
    <n v="1"/>
    <s v="Aug"/>
    <n v="2025"/>
    <s v="Q3"/>
  </r>
  <r>
    <n v="215"/>
    <x v="214"/>
    <x v="3"/>
    <n v="1210"/>
    <n v="3566"/>
    <n v="1836"/>
    <n v="1257"/>
    <n v="3862"/>
    <n v="0.76532783500000001"/>
    <n v="1.9762015989999999"/>
    <n v="421"/>
    <n v="3861"/>
    <n v="3"/>
    <n v="1.4808332989999999"/>
    <n v="0.88408614699999999"/>
    <b v="0"/>
    <n v="0.22567457099999999"/>
    <n v="1"/>
    <s v="Aug"/>
    <n v="2025"/>
    <s v="Q3"/>
  </r>
  <r>
    <n v="216"/>
    <x v="215"/>
    <x v="1"/>
    <n v="4337"/>
    <n v="2910"/>
    <n v="936"/>
    <n v="4408"/>
    <n v="3722"/>
    <n v="0.33225539100000001"/>
    <n v="0.76929666100000005"/>
    <n v="472"/>
    <n v="2624"/>
    <n v="5"/>
    <n v="1.291471898"/>
    <n v="0.88499366899999998"/>
    <b v="0"/>
    <n v="0.86488143900000003"/>
    <n v="1"/>
    <s v="Aug"/>
    <n v="2025"/>
    <s v="Q3"/>
  </r>
  <r>
    <n v="217"/>
    <x v="216"/>
    <x v="2"/>
    <n v="3883"/>
    <n v="1050"/>
    <n v="2272"/>
    <n v="2200"/>
    <n v="2755"/>
    <n v="0.48368262899999998"/>
    <n v="1.246023391"/>
    <n v="1582"/>
    <n v="457"/>
    <n v="9"/>
    <n v="1.5755947939999999"/>
    <n v="0.83079404199999995"/>
    <b v="0"/>
    <n v="0.77207685999999998"/>
    <n v="1"/>
    <s v="Aug"/>
    <n v="2025"/>
    <s v="Q3"/>
  </r>
  <r>
    <n v="218"/>
    <x v="217"/>
    <x v="1"/>
    <n v="4542"/>
    <n v="2703"/>
    <n v="797"/>
    <n v="763"/>
    <n v="2260"/>
    <n v="0.46365478999999998"/>
    <n v="1.649006244"/>
    <n v="1400"/>
    <n v="1037"/>
    <n v="9"/>
    <n v="1.582727591"/>
    <n v="0.96538772299999998"/>
    <b v="0"/>
    <n v="0.90678658999999995"/>
    <n v="1"/>
    <s v="Aug"/>
    <n v="2025"/>
    <s v="Q3"/>
  </r>
  <r>
    <n v="219"/>
    <x v="218"/>
    <x v="1"/>
    <n v="4378"/>
    <n v="2291"/>
    <n v="1840"/>
    <n v="2611"/>
    <n v="751"/>
    <n v="0.24159619199999999"/>
    <n v="0.93712997200000003"/>
    <n v="310"/>
    <n v="3715"/>
    <n v="7"/>
    <n v="0.573262524"/>
    <n v="0.96416999800000003"/>
    <b v="1"/>
    <n v="0.87326246900000004"/>
    <n v="1"/>
    <s v="Aug"/>
    <n v="2025"/>
    <s v="Q3"/>
  </r>
  <r>
    <n v="220"/>
    <x v="219"/>
    <x v="0"/>
    <n v="363"/>
    <n v="3325"/>
    <n v="998"/>
    <n v="2976"/>
    <n v="1382"/>
    <n v="0.36587568799999998"/>
    <n v="0.68470516400000003"/>
    <n v="4953"/>
    <n v="807"/>
    <n v="9"/>
    <n v="1.858269342"/>
    <n v="0.95633754599999998"/>
    <b v="0"/>
    <n v="5.2534750999999998E-2"/>
    <n v="1"/>
    <s v="Aug"/>
    <n v="2025"/>
    <s v="Q3"/>
  </r>
  <r>
    <n v="221"/>
    <x v="220"/>
    <x v="3"/>
    <n v="3639"/>
    <n v="564"/>
    <n v="3043"/>
    <n v="1339"/>
    <n v="1466"/>
    <n v="0.77427239400000003"/>
    <n v="2.3059445329999999"/>
    <n v="4887"/>
    <n v="3602"/>
    <n v="6"/>
    <n v="1.767273018"/>
    <n v="0.91536336399999996"/>
    <b v="0"/>
    <n v="0.72219950899999996"/>
    <n v="1"/>
    <s v="Aug"/>
    <n v="2025"/>
    <s v="Q3"/>
  </r>
  <r>
    <n v="222"/>
    <x v="221"/>
    <x v="0"/>
    <n v="514"/>
    <n v="2442"/>
    <n v="3164"/>
    <n v="1870"/>
    <n v="572"/>
    <n v="0.57399979300000004"/>
    <n v="2.4951858329999999"/>
    <n v="3658"/>
    <n v="1665"/>
    <n v="7"/>
    <n v="1.949753727"/>
    <n v="0.95689543200000005"/>
    <b v="0"/>
    <n v="8.3401472000000004E-2"/>
    <n v="1"/>
    <s v="Aug"/>
    <n v="2025"/>
    <s v="Q3"/>
  </r>
  <r>
    <n v="223"/>
    <x v="222"/>
    <x v="2"/>
    <n v="2868"/>
    <n v="1136"/>
    <n v="2828"/>
    <n v="1661"/>
    <n v="855"/>
    <n v="0.358778608"/>
    <n v="2.3858886500000001"/>
    <n v="2917"/>
    <n v="1895"/>
    <n v="8"/>
    <n v="0.89717336000000003"/>
    <n v="0.96363463699999996"/>
    <b v="0"/>
    <n v="0.56459525799999999"/>
    <n v="0"/>
    <s v="Aug"/>
    <n v="2025"/>
    <s v="Q3"/>
  </r>
  <r>
    <n v="224"/>
    <x v="223"/>
    <x v="1"/>
    <n v="2512"/>
    <n v="1127"/>
    <n v="1769"/>
    <n v="3511"/>
    <n v="2473"/>
    <n v="0.28671674899999999"/>
    <n v="2.8811944939999998"/>
    <n v="4430"/>
    <n v="2130"/>
    <n v="4"/>
    <n v="1.362274019"/>
    <n v="0.95978664000000002"/>
    <b v="0"/>
    <n v="0.491823385"/>
    <n v="1"/>
    <s v="Aug"/>
    <n v="2025"/>
    <s v="Q3"/>
  </r>
  <r>
    <n v="225"/>
    <x v="224"/>
    <x v="2"/>
    <n v="1602"/>
    <n v="1802"/>
    <n v="3845"/>
    <n v="1014"/>
    <n v="2991"/>
    <n v="0.750168579"/>
    <n v="0.89163739500000005"/>
    <n v="867"/>
    <n v="2455"/>
    <n v="3"/>
    <n v="1.6240771000000001"/>
    <n v="0.88537710000000003"/>
    <b v="0"/>
    <n v="0.30580539699999998"/>
    <n v="1"/>
    <s v="Aug"/>
    <n v="2025"/>
    <s v="Q3"/>
  </r>
  <r>
    <n v="226"/>
    <x v="225"/>
    <x v="1"/>
    <n v="1586"/>
    <n v="1472"/>
    <n v="1723"/>
    <n v="2279"/>
    <n v="564"/>
    <n v="0.43780520499999998"/>
    <n v="1.135378062"/>
    <n v="1310"/>
    <n v="2659"/>
    <n v="6"/>
    <n v="1.7948117619999999"/>
    <n v="0.85658238499999995"/>
    <b v="0"/>
    <n v="0.30253475099999999"/>
    <n v="1"/>
    <s v="Aug"/>
    <n v="2025"/>
    <s v="Q3"/>
  </r>
  <r>
    <n v="227"/>
    <x v="226"/>
    <x v="2"/>
    <n v="2758"/>
    <n v="875"/>
    <n v="981"/>
    <n v="3694"/>
    <n v="163"/>
    <n v="0.73335884299999998"/>
    <n v="2.9226936549999998"/>
    <n v="1526"/>
    <n v="1731"/>
    <n v="4"/>
    <n v="1.5982969970000001"/>
    <n v="0.97587979700000005"/>
    <b v="0"/>
    <n v="0.54210956700000001"/>
    <n v="1"/>
    <s v="Aug"/>
    <n v="2025"/>
    <s v="Q3"/>
  </r>
  <r>
    <n v="228"/>
    <x v="227"/>
    <x v="3"/>
    <n v="293"/>
    <n v="3101"/>
    <n v="1604"/>
    <n v="4987"/>
    <n v="1944"/>
    <n v="0.36906972799999999"/>
    <n v="1.6574545469999999"/>
    <n v="2497"/>
    <n v="1545"/>
    <n v="2"/>
    <n v="1.7769094089999999"/>
    <n v="0.84785357699999997"/>
    <b v="0"/>
    <n v="3.8225675000000001E-2"/>
    <n v="1"/>
    <s v="Aug"/>
    <n v="2025"/>
    <s v="Q3"/>
  </r>
  <r>
    <n v="229"/>
    <x v="228"/>
    <x v="1"/>
    <n v="566"/>
    <n v="2038"/>
    <n v="2988"/>
    <n v="2875"/>
    <n v="3310"/>
    <n v="0.51801791799999997"/>
    <n v="1.599105759"/>
    <n v="1703"/>
    <n v="2826"/>
    <n v="8"/>
    <n v="1.7109640100000001"/>
    <n v="0.86792532700000002"/>
    <b v="0"/>
    <n v="9.4031070999999994E-2"/>
    <n v="1"/>
    <s v="Aug"/>
    <n v="2025"/>
    <s v="Q3"/>
  </r>
  <r>
    <n v="230"/>
    <x v="229"/>
    <x v="3"/>
    <n v="1449"/>
    <n v="2772"/>
    <n v="495"/>
    <n v="1733"/>
    <n v="1946"/>
    <n v="0.59224749099999996"/>
    <n v="2.867628726"/>
    <n v="2800"/>
    <n v="3829"/>
    <n v="2"/>
    <n v="0.64332777900000004"/>
    <n v="0.83248414299999995"/>
    <b v="0"/>
    <n v="0.27452984499999999"/>
    <n v="1"/>
    <s v="Aug"/>
    <n v="2025"/>
    <s v="Q3"/>
  </r>
  <r>
    <n v="231"/>
    <x v="230"/>
    <x v="2"/>
    <n v="2660"/>
    <n v="1901"/>
    <n v="3297"/>
    <n v="1933"/>
    <n v="388"/>
    <n v="0.34132050400000002"/>
    <n v="1.3140726739999999"/>
    <n v="4637"/>
    <n v="457"/>
    <n v="5"/>
    <n v="1.1501704779999999"/>
    <n v="0.97989948400000004"/>
    <b v="0"/>
    <n v="0.52207685999999998"/>
    <n v="1"/>
    <s v="Aug"/>
    <n v="2025"/>
    <s v="Q3"/>
  </r>
  <r>
    <n v="232"/>
    <x v="231"/>
    <x v="2"/>
    <n v="983"/>
    <n v="4042"/>
    <n v="704"/>
    <n v="1113"/>
    <n v="1853"/>
    <n v="0.26521937299999998"/>
    <n v="0.54348488699999997"/>
    <n v="2697"/>
    <n v="2675"/>
    <n v="2"/>
    <n v="1.667342648"/>
    <n v="0.86730094400000002"/>
    <b v="0"/>
    <n v="0.17927228100000001"/>
    <n v="1"/>
    <s v="Aug"/>
    <n v="2025"/>
    <s v="Q3"/>
  </r>
  <r>
    <n v="233"/>
    <x v="232"/>
    <x v="1"/>
    <n v="2483"/>
    <n v="892"/>
    <n v="1930"/>
    <n v="4540"/>
    <n v="550"/>
    <n v="0.51674352700000004"/>
    <n v="1.2929839789999999"/>
    <n v="2764"/>
    <n v="1714"/>
    <n v="7"/>
    <n v="0.55300054399999998"/>
    <n v="0.89556935100000001"/>
    <b v="0"/>
    <n v="0.48589533899999998"/>
    <n v="1"/>
    <s v="Aug"/>
    <n v="2025"/>
    <s v="Q3"/>
  </r>
  <r>
    <n v="234"/>
    <x v="233"/>
    <x v="0"/>
    <n v="1630"/>
    <n v="1317"/>
    <n v="3665"/>
    <n v="3308"/>
    <n v="2864"/>
    <n v="0.23837757500000001"/>
    <n v="2.9202466349999998"/>
    <n v="686"/>
    <n v="1890"/>
    <n v="5"/>
    <n v="0.79394231800000004"/>
    <n v="0.94262742399999999"/>
    <b v="0"/>
    <n v="0.31152902700000001"/>
    <n v="1"/>
    <s v="Aug"/>
    <n v="2025"/>
    <s v="Q3"/>
  </r>
  <r>
    <n v="235"/>
    <x v="234"/>
    <x v="1"/>
    <n v="2594"/>
    <n v="2461"/>
    <n v="1180"/>
    <n v="3896"/>
    <n v="2545"/>
    <n v="0.31991859700000003"/>
    <n v="1.898526376"/>
    <n v="466"/>
    <n v="601"/>
    <n v="7"/>
    <n v="1.2521244410000001"/>
    <n v="0.86587194000000001"/>
    <b v="0"/>
    <n v="0.508585446"/>
    <n v="1"/>
    <s v="Aug"/>
    <n v="2025"/>
    <s v="Q3"/>
  </r>
  <r>
    <n v="236"/>
    <x v="235"/>
    <x v="2"/>
    <n v="937"/>
    <n v="971"/>
    <n v="3172"/>
    <n v="3197"/>
    <n v="1231"/>
    <n v="0.35160240300000001"/>
    <n v="2.6154648250000001"/>
    <n v="4101"/>
    <n v="2726"/>
    <n v="9"/>
    <n v="0.60929485800000005"/>
    <n v="0.87648516300000001"/>
    <b v="0"/>
    <n v="0.16986917400000001"/>
    <n v="0"/>
    <s v="Aug"/>
    <n v="2025"/>
    <s v="Q3"/>
  </r>
  <r>
    <n v="237"/>
    <x v="236"/>
    <x v="3"/>
    <n v="1400"/>
    <n v="3215"/>
    <n v="1457"/>
    <n v="4920"/>
    <n v="3088"/>
    <n v="0.77240718799999997"/>
    <n v="2.9978724269999999"/>
    <n v="3695"/>
    <n v="3389"/>
    <n v="8"/>
    <n v="1.9829692400000001"/>
    <n v="0.87917610400000001"/>
    <b v="0"/>
    <n v="0.26451349099999999"/>
    <n v="1"/>
    <s v="Aug"/>
    <n v="2025"/>
    <s v="Q3"/>
  </r>
  <r>
    <n v="238"/>
    <x v="237"/>
    <x v="3"/>
    <n v="853"/>
    <n v="2351"/>
    <n v="3171"/>
    <n v="3533"/>
    <n v="3077"/>
    <n v="0.61215197899999996"/>
    <n v="2.198712048"/>
    <n v="3341"/>
    <n v="1781"/>
    <n v="4"/>
    <n v="1.1266371980000001"/>
    <n v="0.86727034300000005"/>
    <b v="0"/>
    <n v="0.15269828299999999"/>
    <n v="1"/>
    <s v="Aug"/>
    <n v="2025"/>
    <s v="Q3"/>
  </r>
  <r>
    <n v="239"/>
    <x v="238"/>
    <x v="0"/>
    <n v="2342"/>
    <n v="1193"/>
    <n v="3913"/>
    <n v="1789"/>
    <n v="491"/>
    <n v="0.32104433100000002"/>
    <n v="1.0428441100000001"/>
    <n v="1009"/>
    <n v="2677"/>
    <n v="7"/>
    <n v="0.58128753399999999"/>
    <n v="0.91178631499999996"/>
    <b v="0"/>
    <n v="0.45707277200000002"/>
    <n v="1"/>
    <s v="Aug"/>
    <n v="2025"/>
    <s v="Q3"/>
  </r>
  <r>
    <n v="240"/>
    <x v="239"/>
    <x v="1"/>
    <n v="1457"/>
    <n v="724"/>
    <n v="3726"/>
    <n v="2731"/>
    <n v="1662"/>
    <n v="0.63469152500000003"/>
    <n v="2.0580057979999999"/>
    <n v="3990"/>
    <n v="1387"/>
    <n v="9"/>
    <n v="1.0726098770000001"/>
    <n v="0.80477742200000002"/>
    <b v="0"/>
    <n v="0.27616516800000002"/>
    <n v="1"/>
    <s v="Aug"/>
    <n v="2025"/>
    <s v="Q3"/>
  </r>
  <r>
    <n v="241"/>
    <x v="240"/>
    <x v="0"/>
    <n v="1397"/>
    <n v="1083"/>
    <n v="655"/>
    <n v="769"/>
    <n v="1365"/>
    <n v="0.61334910600000003"/>
    <n v="1.8431989360000001"/>
    <n v="1622"/>
    <n v="3842"/>
    <n v="4"/>
    <n v="0.774628282"/>
    <n v="0.89391019900000002"/>
    <b v="0"/>
    <n v="0.26390024499999998"/>
    <n v="1"/>
    <s v="Aug"/>
    <n v="2025"/>
    <s v="Q3"/>
  </r>
  <r>
    <n v="242"/>
    <x v="241"/>
    <x v="2"/>
    <n v="838"/>
    <n v="1558"/>
    <n v="2713"/>
    <n v="3911"/>
    <n v="1965"/>
    <n v="0.61373527100000003"/>
    <n v="2.9478416350000001"/>
    <n v="296"/>
    <n v="1123"/>
    <n v="2"/>
    <n v="1.073371702"/>
    <n v="0.88017999199999997"/>
    <b v="0"/>
    <n v="0.14963205199999999"/>
    <n v="1"/>
    <s v="Aug"/>
    <n v="2025"/>
    <s v="Q3"/>
  </r>
  <r>
    <n v="243"/>
    <x v="242"/>
    <x v="1"/>
    <n v="4403"/>
    <n v="3254"/>
    <n v="943"/>
    <n v="4172"/>
    <n v="1084"/>
    <n v="0.23327673400000001"/>
    <n v="0.93069675600000001"/>
    <n v="4981"/>
    <n v="838"/>
    <n v="9"/>
    <n v="1.5619635970000001"/>
    <n v="0.80443701499999998"/>
    <b v="0"/>
    <n v="0.87837285399999998"/>
    <n v="1"/>
    <s v="Aug"/>
    <n v="2025"/>
    <s v="Q3"/>
  </r>
  <r>
    <n v="244"/>
    <x v="243"/>
    <x v="1"/>
    <n v="2900"/>
    <n v="1509"/>
    <n v="3673"/>
    <n v="4590"/>
    <n v="480"/>
    <n v="0.59920257899999996"/>
    <n v="0.77714605199999998"/>
    <n v="4701"/>
    <n v="3234"/>
    <n v="2"/>
    <n v="1.330561769"/>
    <n v="0.95528907600000001"/>
    <b v="0"/>
    <n v="0.57113654899999999"/>
    <n v="1"/>
    <s v="Sep"/>
    <n v="2025"/>
    <s v="Q3"/>
  </r>
  <r>
    <n v="245"/>
    <x v="244"/>
    <x v="3"/>
    <n v="3697"/>
    <n v="4127"/>
    <n v="1952"/>
    <n v="4977"/>
    <n v="218"/>
    <n v="0.77029134399999999"/>
    <n v="1.5958479459999999"/>
    <n v="1314"/>
    <n v="1679"/>
    <n v="4"/>
    <n v="1.7238400330000001"/>
    <n v="0.99950518899999996"/>
    <b v="0"/>
    <n v="0.734055601"/>
    <n v="1"/>
    <s v="Sep"/>
    <n v="2025"/>
    <s v="Q3"/>
  </r>
  <r>
    <n v="246"/>
    <x v="245"/>
    <x v="3"/>
    <n v="3945"/>
    <n v="548"/>
    <n v="2288"/>
    <n v="4566"/>
    <n v="2444"/>
    <n v="0.61398183699999997"/>
    <n v="1.59609479"/>
    <n v="4239"/>
    <n v="2202"/>
    <n v="3"/>
    <n v="1.526910593"/>
    <n v="0.90369798899999998"/>
    <b v="0"/>
    <n v="0.78475061300000004"/>
    <n v="1"/>
    <s v="Sep"/>
    <n v="2025"/>
    <s v="Q3"/>
  </r>
  <r>
    <n v="247"/>
    <x v="246"/>
    <x v="3"/>
    <n v="1252"/>
    <n v="3399"/>
    <n v="478"/>
    <n v="3281"/>
    <n v="894"/>
    <n v="0.65860756300000001"/>
    <n v="2.5819038929999998"/>
    <n v="1653"/>
    <n v="2051"/>
    <n v="9"/>
    <n v="1.666328145"/>
    <n v="0.98054025199999995"/>
    <b v="0"/>
    <n v="0.23426001599999999"/>
    <n v="0"/>
    <s v="Sep"/>
    <n v="2025"/>
    <s v="Q3"/>
  </r>
  <r>
    <n v="248"/>
    <x v="247"/>
    <x v="0"/>
    <n v="2019"/>
    <n v="2034"/>
    <n v="2910"/>
    <n v="1342"/>
    <n v="2027"/>
    <n v="0.21700383500000001"/>
    <n v="1.7101697090000001"/>
    <n v="4094"/>
    <n v="2608"/>
    <n v="9"/>
    <n v="0.50188340600000003"/>
    <n v="0.88128277700000002"/>
    <b v="0"/>
    <n v="0.39104660699999999"/>
    <n v="1"/>
    <s v="Sep"/>
    <n v="2025"/>
    <s v="Q3"/>
  </r>
  <r>
    <n v="249"/>
    <x v="248"/>
    <x v="0"/>
    <n v="1910"/>
    <n v="1050"/>
    <n v="761"/>
    <n v="3562"/>
    <n v="1216"/>
    <n v="0.28386835300000002"/>
    <n v="2.9408771439999999"/>
    <n v="3516"/>
    <n v="1902"/>
    <n v="1"/>
    <n v="1.093897887"/>
    <n v="0.96641463000000005"/>
    <b v="0"/>
    <n v="0.36876533099999997"/>
    <n v="1"/>
    <s v="Sep"/>
    <n v="2025"/>
    <s v="Q3"/>
  </r>
  <r>
    <n v="250"/>
    <x v="249"/>
    <x v="2"/>
    <n v="460"/>
    <n v="3462"/>
    <n v="711"/>
    <n v="3736"/>
    <n v="3649"/>
    <n v="0.75060786400000001"/>
    <n v="2.6204737329999999"/>
    <n v="898"/>
    <n v="2738"/>
    <n v="5"/>
    <n v="0.92115703299999996"/>
    <n v="0.84411557699999995"/>
    <b v="0"/>
    <n v="7.2363042000000002E-2"/>
    <n v="1"/>
    <s v="Sep"/>
    <n v="2025"/>
    <s v="Q3"/>
  </r>
  <r>
    <n v="251"/>
    <x v="250"/>
    <x v="3"/>
    <n v="1217"/>
    <n v="565"/>
    <n v="1812"/>
    <n v="4367"/>
    <n v="3109"/>
    <n v="0.73075359200000001"/>
    <n v="0.950036192"/>
    <n v="3238"/>
    <n v="498"/>
    <n v="6"/>
    <n v="1.2806802319999999"/>
    <n v="0.99229564999999997"/>
    <b v="0"/>
    <n v="0.227105478"/>
    <n v="1"/>
    <s v="Sep"/>
    <n v="2025"/>
    <s v="Q3"/>
  </r>
  <r>
    <n v="252"/>
    <x v="251"/>
    <x v="3"/>
    <n v="570"/>
    <n v="3663"/>
    <n v="1919"/>
    <n v="3541"/>
    <n v="2811"/>
    <n v="0.58338236899999996"/>
    <n v="2.6284319799999998"/>
    <n v="871"/>
    <n v="2307"/>
    <n v="4"/>
    <n v="1.8133360430000001"/>
    <n v="0.89859586499999999"/>
    <b v="0"/>
    <n v="9.4848733000000005E-2"/>
    <n v="1"/>
    <s v="Sep"/>
    <n v="2025"/>
    <s v="Q3"/>
  </r>
  <r>
    <n v="253"/>
    <x v="252"/>
    <x v="3"/>
    <n v="4749"/>
    <n v="3298"/>
    <n v="2713"/>
    <n v="4678"/>
    <n v="3047"/>
    <n v="0.63409789699999997"/>
    <n v="2.1688739629999998"/>
    <n v="1495"/>
    <n v="3258"/>
    <n v="2"/>
    <n v="0.94541018799999998"/>
    <n v="0.83491855599999998"/>
    <b v="0"/>
    <n v="0.94910057199999998"/>
    <n v="1"/>
    <s v="Sep"/>
    <n v="2025"/>
    <s v="Q3"/>
  </r>
  <r>
    <n v="254"/>
    <x v="253"/>
    <x v="2"/>
    <n v="2882"/>
    <n v="2584"/>
    <n v="209"/>
    <n v="4021"/>
    <n v="1357"/>
    <n v="0.52647876800000004"/>
    <n v="1.5778504980000001"/>
    <n v="4018"/>
    <n v="2225"/>
    <n v="7"/>
    <n v="0.92223655100000002"/>
    <n v="0.90016552800000005"/>
    <b v="0"/>
    <n v="0.56745707300000003"/>
    <n v="1"/>
    <s v="Sep"/>
    <n v="2025"/>
    <s v="Q3"/>
  </r>
  <r>
    <n v="255"/>
    <x v="254"/>
    <x v="1"/>
    <n v="214"/>
    <n v="2708"/>
    <n v="2402"/>
    <n v="1150"/>
    <n v="2584"/>
    <n v="0.67193873299999995"/>
    <n v="2.9154740019999998"/>
    <n v="2878"/>
    <n v="2433"/>
    <n v="8"/>
    <n v="1.4188669350000001"/>
    <n v="0.96398434399999999"/>
    <b v="0"/>
    <n v="2.207686E-2"/>
    <n v="1"/>
    <s v="Sep"/>
    <n v="2025"/>
    <s v="Q3"/>
  </r>
  <r>
    <n v="256"/>
    <x v="255"/>
    <x v="0"/>
    <n v="4674"/>
    <n v="1110"/>
    <n v="2532"/>
    <n v="1068"/>
    <n v="2858"/>
    <n v="0.57464247300000004"/>
    <n v="2.4602629930000002"/>
    <n v="1092"/>
    <n v="1468"/>
    <n v="4"/>
    <n v="1.564981889"/>
    <n v="0.84837841999999997"/>
    <b v="0"/>
    <n v="0.93376941899999999"/>
    <n v="1"/>
    <s v="Sep"/>
    <n v="2025"/>
    <s v="Q3"/>
  </r>
  <r>
    <n v="257"/>
    <x v="256"/>
    <x v="2"/>
    <n v="1700"/>
    <n v="2486"/>
    <n v="398"/>
    <n v="681"/>
    <n v="3174"/>
    <n v="0.65176289300000001"/>
    <n v="0.61417028799999995"/>
    <n v="2766"/>
    <n v="662"/>
    <n v="4"/>
    <n v="1.117022263"/>
    <n v="0.86463960500000003"/>
    <b v="0"/>
    <n v="0.32583810299999999"/>
    <n v="1"/>
    <s v="Sep"/>
    <n v="2025"/>
    <s v="Q3"/>
  </r>
  <r>
    <n v="258"/>
    <x v="257"/>
    <x v="2"/>
    <n v="3221"/>
    <n v="4081"/>
    <n v="3629"/>
    <n v="3528"/>
    <n v="2248"/>
    <n v="0.44309705300000002"/>
    <n v="2.8010324930000001"/>
    <n v="1739"/>
    <n v="1019"/>
    <n v="2"/>
    <n v="1.018381615"/>
    <n v="0.82389863500000005"/>
    <b v="0"/>
    <n v="0.63675388399999999"/>
    <n v="1"/>
    <s v="Sep"/>
    <n v="2025"/>
    <s v="Q3"/>
  </r>
  <r>
    <n v="259"/>
    <x v="258"/>
    <x v="3"/>
    <n v="4345"/>
    <n v="2321"/>
    <n v="2510"/>
    <n v="2756"/>
    <n v="1447"/>
    <n v="0.62695590800000001"/>
    <n v="1.096431712"/>
    <n v="4184"/>
    <n v="1428"/>
    <n v="9"/>
    <n v="0.66952606299999995"/>
    <n v="0.97166877600000001"/>
    <b v="0"/>
    <n v="0.86651676200000005"/>
    <n v="1"/>
    <s v="Sep"/>
    <n v="2025"/>
    <s v="Q3"/>
  </r>
  <r>
    <n v="260"/>
    <x v="259"/>
    <x v="0"/>
    <n v="4773"/>
    <n v="1573"/>
    <n v="2003"/>
    <n v="3748"/>
    <n v="2032"/>
    <n v="0.380421656"/>
    <n v="1.2324859189999999"/>
    <n v="3379"/>
    <n v="659"/>
    <n v="3"/>
    <n v="0.53821970900000005"/>
    <n v="0.90735156699999997"/>
    <b v="0"/>
    <n v="0.95400654100000004"/>
    <n v="1"/>
    <s v="Sep"/>
    <n v="2025"/>
    <s v="Q3"/>
  </r>
  <r>
    <n v="261"/>
    <x v="260"/>
    <x v="0"/>
    <n v="2420"/>
    <n v="2383"/>
    <n v="379"/>
    <n v="435"/>
    <n v="2088"/>
    <n v="0.74340908400000005"/>
    <n v="2.9659027560000002"/>
    <n v="220"/>
    <n v="3243"/>
    <n v="3"/>
    <n v="0.63603414400000002"/>
    <n v="0.98460066599999996"/>
    <b v="0"/>
    <n v="0.47301717100000001"/>
    <n v="1"/>
    <s v="Sep"/>
    <n v="2025"/>
    <s v="Q3"/>
  </r>
  <r>
    <n v="262"/>
    <x v="261"/>
    <x v="1"/>
    <n v="2629"/>
    <n v="1120"/>
    <n v="1610"/>
    <n v="707"/>
    <n v="184"/>
    <n v="0.446737989"/>
    <n v="2.7380183269999998"/>
    <n v="377"/>
    <n v="2419"/>
    <n v="6"/>
    <n v="0.84512667500000005"/>
    <n v="0.93243659700000003"/>
    <b v="0"/>
    <n v="0.51573998399999998"/>
    <n v="1"/>
    <s v="Sep"/>
    <n v="2025"/>
    <s v="Q3"/>
  </r>
  <r>
    <n v="263"/>
    <x v="262"/>
    <x v="3"/>
    <n v="2474"/>
    <n v="3826"/>
    <n v="3663"/>
    <n v="1760"/>
    <n v="1546"/>
    <n v="0.40236925800000001"/>
    <n v="2.8959979370000002"/>
    <n v="2230"/>
    <n v="2974"/>
    <n v="2"/>
    <n v="1.6403164299999999"/>
    <n v="0.94945819499999995"/>
    <b v="0"/>
    <n v="0.484055601"/>
    <n v="1"/>
    <s v="Sep"/>
    <n v="2025"/>
    <s v="Q3"/>
  </r>
  <r>
    <n v="264"/>
    <x v="263"/>
    <x v="0"/>
    <n v="4373"/>
    <n v="2718"/>
    <n v="2731"/>
    <n v="1186"/>
    <n v="1933"/>
    <n v="0.719618545"/>
    <n v="2.6386325199999998"/>
    <n v="4971"/>
    <n v="3278"/>
    <n v="5"/>
    <n v="0.53588388300000001"/>
    <n v="0.83245199199999997"/>
    <b v="0"/>
    <n v="0.87224039200000003"/>
    <n v="1"/>
    <s v="Sep"/>
    <n v="2025"/>
    <s v="Q3"/>
  </r>
  <r>
    <n v="265"/>
    <x v="264"/>
    <x v="0"/>
    <n v="3706"/>
    <n v="3084"/>
    <n v="3975"/>
    <n v="3049"/>
    <n v="1466"/>
    <n v="0.455712899"/>
    <n v="1.0985803350000001"/>
    <n v="1864"/>
    <n v="3468"/>
    <n v="8"/>
    <n v="0.63156505699999999"/>
    <n v="0.85238340099999999"/>
    <b v="0"/>
    <n v="0.73589533900000004"/>
    <n v="1"/>
    <s v="Sep"/>
    <n v="2025"/>
    <s v="Q3"/>
  </r>
  <r>
    <n v="266"/>
    <x v="265"/>
    <x v="3"/>
    <n v="1761"/>
    <n v="1216"/>
    <n v="2031"/>
    <n v="478"/>
    <n v="3668"/>
    <n v="0.33925941199999998"/>
    <n v="0.64776537999999995"/>
    <n v="4628"/>
    <n v="2264"/>
    <n v="6"/>
    <n v="0.70018657799999995"/>
    <n v="0.90796346699999997"/>
    <b v="0"/>
    <n v="0.33830744099999999"/>
    <n v="1"/>
    <s v="Sep"/>
    <n v="2025"/>
    <s v="Q3"/>
  </r>
  <r>
    <n v="267"/>
    <x v="266"/>
    <x v="2"/>
    <n v="4524"/>
    <n v="4052"/>
    <n v="3636"/>
    <n v="915"/>
    <n v="1350"/>
    <n v="0.63734166199999998"/>
    <n v="1.0843504690000001"/>
    <n v="2084"/>
    <n v="543"/>
    <n v="3"/>
    <n v="0.79523232499999996"/>
    <n v="0.92812226900000006"/>
    <b v="0"/>
    <n v="0.90310711399999999"/>
    <n v="1"/>
    <s v="Sep"/>
    <n v="2025"/>
    <s v="Q3"/>
  </r>
  <r>
    <n v="268"/>
    <x v="267"/>
    <x v="1"/>
    <n v="3452"/>
    <n v="852"/>
    <n v="3459"/>
    <n v="2426"/>
    <n v="3471"/>
    <n v="0.30862830400000002"/>
    <n v="0.98923689599999998"/>
    <n v="680"/>
    <n v="3007"/>
    <n v="2"/>
    <n v="1.163222763"/>
    <n v="0.86778660799999996"/>
    <b v="1"/>
    <n v="0.68397383499999997"/>
    <n v="1"/>
    <s v="Sep"/>
    <n v="2025"/>
    <s v="Q3"/>
  </r>
  <r>
    <n v="269"/>
    <x v="268"/>
    <x v="0"/>
    <n v="314"/>
    <n v="1481"/>
    <n v="3729"/>
    <n v="602"/>
    <n v="3804"/>
    <n v="0.35477056699999998"/>
    <n v="2.7986339789999999"/>
    <n v="3639"/>
    <n v="1118"/>
    <n v="5"/>
    <n v="0.76872767399999997"/>
    <n v="0.80623943499999995"/>
    <b v="0"/>
    <n v="4.2518396999999999E-2"/>
    <n v="1"/>
    <s v="Sep"/>
    <n v="2025"/>
    <s v="Q3"/>
  </r>
  <r>
    <n v="270"/>
    <x v="269"/>
    <x v="1"/>
    <n v="222"/>
    <n v="3734"/>
    <n v="2768"/>
    <n v="1862"/>
    <n v="1721"/>
    <n v="0.69982997800000002"/>
    <n v="0.78378383100000004"/>
    <n v="1906"/>
    <n v="1142"/>
    <n v="8"/>
    <n v="0.88444317699999997"/>
    <n v="0.93291728100000004"/>
    <b v="0"/>
    <n v="2.3712183000000001E-2"/>
    <n v="1"/>
    <s v="Sep"/>
    <n v="2025"/>
    <s v="Q3"/>
  </r>
  <r>
    <n v="271"/>
    <x v="270"/>
    <x v="3"/>
    <n v="2034"/>
    <n v="2853"/>
    <n v="810"/>
    <n v="321"/>
    <n v="565"/>
    <n v="0.56099748400000005"/>
    <n v="1.5942063989999999"/>
    <n v="614"/>
    <n v="120"/>
    <n v="1"/>
    <n v="0.73054274600000002"/>
    <n v="0.97813079000000003"/>
    <b v="0"/>
    <n v="0.39411283699999999"/>
    <n v="1"/>
    <s v="Sep"/>
    <n v="2025"/>
    <s v="Q3"/>
  </r>
  <r>
    <n v="272"/>
    <x v="271"/>
    <x v="0"/>
    <n v="4516"/>
    <n v="3358"/>
    <n v="1928"/>
    <n v="4601"/>
    <n v="1853"/>
    <n v="0.65181196799999996"/>
    <n v="0.78334484900000001"/>
    <n v="468"/>
    <n v="1127"/>
    <n v="8"/>
    <n v="1.780573314"/>
    <n v="0.865844638"/>
    <b v="0"/>
    <n v="0.90147179099999997"/>
    <n v="1"/>
    <s v="Sep"/>
    <n v="2025"/>
    <s v="Q3"/>
  </r>
  <r>
    <n v="273"/>
    <x v="272"/>
    <x v="0"/>
    <n v="2527"/>
    <n v="2272"/>
    <n v="2822"/>
    <n v="3390"/>
    <n v="3959"/>
    <n v="0.62825972100000005"/>
    <n v="1.111030693"/>
    <n v="2196"/>
    <n v="454"/>
    <n v="4"/>
    <n v="0.86326906599999997"/>
    <n v="0.84388595899999996"/>
    <b v="0"/>
    <n v="0.49488961599999998"/>
    <n v="1"/>
    <s v="Sep"/>
    <n v="2025"/>
    <s v="Q3"/>
  </r>
  <r>
    <n v="274"/>
    <x v="273"/>
    <x v="0"/>
    <n v="2336"/>
    <n v="804"/>
    <n v="3694"/>
    <n v="4440"/>
    <n v="1085"/>
    <n v="0.74456923600000002"/>
    <n v="0.58412545100000002"/>
    <n v="4981"/>
    <n v="2151"/>
    <n v="4"/>
    <n v="1.846642667"/>
    <n v="0.98939743499999999"/>
    <b v="0"/>
    <n v="0.45584627999999999"/>
    <n v="1"/>
    <s v="Oct"/>
    <n v="2025"/>
    <s v="Q4"/>
  </r>
  <r>
    <n v="275"/>
    <x v="274"/>
    <x v="3"/>
    <n v="1653"/>
    <n v="2934"/>
    <n v="1932"/>
    <n v="1587"/>
    <n v="600"/>
    <n v="0.23335387399999999"/>
    <n v="0.64251052099999995"/>
    <n v="3318"/>
    <n v="1117"/>
    <n v="7"/>
    <n v="0.52448545700000004"/>
    <n v="0.96151215199999995"/>
    <b v="1"/>
    <n v="0.31623058100000001"/>
    <n v="1"/>
    <s v="Oct"/>
    <n v="2025"/>
    <s v="Q4"/>
  </r>
  <r>
    <n v="276"/>
    <x v="275"/>
    <x v="3"/>
    <n v="156"/>
    <n v="3815"/>
    <n v="3844"/>
    <n v="447"/>
    <n v="1450"/>
    <n v="0.21716096800000001"/>
    <n v="2.8500527400000002"/>
    <n v="189"/>
    <n v="392"/>
    <n v="7"/>
    <n v="1.7506523979999999"/>
    <n v="0.95258522800000001"/>
    <b v="0"/>
    <n v="1.0220768999999999E-2"/>
    <n v="1"/>
    <s v="Oct"/>
    <n v="2025"/>
    <s v="Q4"/>
  </r>
  <r>
    <n v="277"/>
    <x v="276"/>
    <x v="2"/>
    <n v="238"/>
    <n v="2445"/>
    <n v="2385"/>
    <n v="4227"/>
    <n v="1295"/>
    <n v="0.234215176"/>
    <n v="0.86116920200000002"/>
    <n v="1657"/>
    <n v="106"/>
    <n v="7"/>
    <n v="1.0660229210000001"/>
    <n v="0.82127397199999996"/>
    <b v="0"/>
    <n v="2.6982829E-2"/>
    <n v="1"/>
    <s v="Oct"/>
    <n v="2025"/>
    <s v="Q4"/>
  </r>
  <r>
    <n v="278"/>
    <x v="277"/>
    <x v="0"/>
    <n v="1180"/>
    <n v="4082"/>
    <n v="651"/>
    <n v="1697"/>
    <n v="2329"/>
    <n v="0.50213143000000005"/>
    <n v="1.715531855"/>
    <n v="2926"/>
    <n v="1290"/>
    <n v="4"/>
    <n v="1.7570852079999999"/>
    <n v="0.83905074300000004"/>
    <b v="0"/>
    <n v="0.21954211000000001"/>
    <n v="1"/>
    <s v="Oct"/>
    <n v="2025"/>
    <s v="Q4"/>
  </r>
  <r>
    <n v="279"/>
    <x v="278"/>
    <x v="2"/>
    <n v="4330"/>
    <n v="2180"/>
    <n v="977"/>
    <n v="1285"/>
    <n v="2783"/>
    <n v="0.55233379299999996"/>
    <n v="1.8762756629999999"/>
    <n v="636"/>
    <n v="3432"/>
    <n v="1"/>
    <n v="0.98530791299999998"/>
    <n v="0.99205465800000003"/>
    <b v="0"/>
    <n v="0.86345053100000002"/>
    <n v="1"/>
    <s v="Oct"/>
    <n v="2025"/>
    <s v="Q4"/>
  </r>
  <r>
    <n v="280"/>
    <x v="279"/>
    <x v="0"/>
    <n v="4110"/>
    <n v="1054"/>
    <n v="1999"/>
    <n v="3432"/>
    <n v="2695"/>
    <n v="0.30996814499999997"/>
    <n v="2.522525323"/>
    <n v="3835"/>
    <n v="2682"/>
    <n v="4"/>
    <n v="1.155648051"/>
    <n v="0.817001109"/>
    <b v="0"/>
    <n v="0.81847915000000004"/>
    <n v="1"/>
    <s v="Oct"/>
    <n v="2025"/>
    <s v="Q4"/>
  </r>
  <r>
    <n v="281"/>
    <x v="280"/>
    <x v="2"/>
    <n v="748"/>
    <n v="1454"/>
    <n v="936"/>
    <n v="4763"/>
    <n v="761"/>
    <n v="0.20461433900000001"/>
    <n v="1.2811566080000001"/>
    <n v="2403"/>
    <n v="3900"/>
    <n v="1"/>
    <n v="1.0932793160000001"/>
    <n v="0.99315678299999999"/>
    <b v="0"/>
    <n v="0.131234669"/>
    <n v="1"/>
    <s v="Oct"/>
    <n v="2025"/>
    <s v="Q4"/>
  </r>
  <r>
    <n v="282"/>
    <x v="281"/>
    <x v="3"/>
    <n v="4014"/>
    <n v="4217"/>
    <n v="895"/>
    <n v="4161"/>
    <n v="894"/>
    <n v="0.73678797100000004"/>
    <n v="1.161025937"/>
    <n v="1496"/>
    <n v="1860"/>
    <n v="3"/>
    <n v="1.9773588769999999"/>
    <n v="0.83262795999999994"/>
    <b v="0"/>
    <n v="0.798855274"/>
    <n v="1"/>
    <s v="Oct"/>
    <n v="2025"/>
    <s v="Q4"/>
  </r>
  <r>
    <n v="283"/>
    <x v="282"/>
    <x v="0"/>
    <n v="1630"/>
    <n v="3960"/>
    <n v="946"/>
    <n v="1123"/>
    <n v="2106"/>
    <n v="0.78250183799999995"/>
    <n v="2.9577651789999999"/>
    <n v="428"/>
    <n v="1718"/>
    <n v="4"/>
    <n v="1.1486837990000001"/>
    <n v="0.99587092099999996"/>
    <b v="0"/>
    <n v="0.31152902700000001"/>
    <n v="1"/>
    <s v="Oct"/>
    <n v="2025"/>
    <s v="Q4"/>
  </r>
  <r>
    <n v="284"/>
    <x v="283"/>
    <x v="2"/>
    <n v="4013"/>
    <n v="1040"/>
    <n v="3762"/>
    <n v="4641"/>
    <n v="3879"/>
    <n v="0.26064986299999998"/>
    <n v="1.4536645909999999"/>
    <n v="3729"/>
    <n v="2560"/>
    <n v="2"/>
    <n v="1.744580281"/>
    <n v="0.85407973199999998"/>
    <b v="0"/>
    <n v="0.79865085899999999"/>
    <n v="1"/>
    <s v="Oct"/>
    <n v="2025"/>
    <s v="Q4"/>
  </r>
  <r>
    <n v="285"/>
    <x v="284"/>
    <x v="2"/>
    <n v="1742"/>
    <n v="1603"/>
    <n v="2993"/>
    <n v="4700"/>
    <n v="3937"/>
    <n v="0.49879124600000002"/>
    <n v="0.74559192100000005"/>
    <n v="3668"/>
    <n v="3394"/>
    <n v="5"/>
    <n v="1.576826558"/>
    <n v="0.94062996399999999"/>
    <b v="0"/>
    <n v="0.33442354899999999"/>
    <n v="1"/>
    <s v="Oct"/>
    <n v="2025"/>
    <s v="Q4"/>
  </r>
  <r>
    <n v="286"/>
    <x v="285"/>
    <x v="0"/>
    <n v="738"/>
    <n v="3311"/>
    <n v="2516"/>
    <n v="3458"/>
    <n v="543"/>
    <n v="0.68044307900000001"/>
    <n v="2.5208855450000001"/>
    <n v="1482"/>
    <n v="3017"/>
    <n v="5"/>
    <n v="0.503953384"/>
    <n v="0.80557058100000001"/>
    <b v="0"/>
    <n v="0.12919051500000001"/>
    <n v="1"/>
    <s v="Oct"/>
    <n v="2025"/>
    <s v="Q4"/>
  </r>
  <r>
    <n v="287"/>
    <x v="286"/>
    <x v="2"/>
    <n v="1936"/>
    <n v="1529"/>
    <n v="2017"/>
    <n v="2607"/>
    <n v="2828"/>
    <n v="0.43234207800000002"/>
    <n v="2.545875095"/>
    <n v="3385"/>
    <n v="2573"/>
    <n v="7"/>
    <n v="1.57468567"/>
    <n v="0.97932606600000005"/>
    <b v="0"/>
    <n v="0.37408013099999998"/>
    <n v="0"/>
    <s v="Oct"/>
    <n v="2025"/>
    <s v="Q4"/>
  </r>
  <r>
    <n v="288"/>
    <x v="287"/>
    <x v="0"/>
    <n v="1791"/>
    <n v="4363"/>
    <n v="332"/>
    <n v="1196"/>
    <n v="2085"/>
    <n v="0.59816005699999997"/>
    <n v="2.3527358079999998"/>
    <n v="688"/>
    <n v="3326"/>
    <n v="7"/>
    <n v="1.2504058689999999"/>
    <n v="0.95606983999999995"/>
    <b v="0"/>
    <n v="0.34443990200000002"/>
    <n v="1"/>
    <s v="Oct"/>
    <n v="2025"/>
    <s v="Q4"/>
  </r>
  <r>
    <n v="289"/>
    <x v="288"/>
    <x v="3"/>
    <n v="3641"/>
    <n v="3367"/>
    <n v="666"/>
    <n v="3166"/>
    <n v="214"/>
    <n v="0.38771602300000002"/>
    <n v="1.106647967"/>
    <n v="680"/>
    <n v="1730"/>
    <n v="2"/>
    <n v="1.179968283"/>
    <n v="0.81611913300000005"/>
    <b v="0"/>
    <n v="0.72260833999999996"/>
    <n v="1"/>
    <s v="Oct"/>
    <n v="2025"/>
    <s v="Q4"/>
  </r>
  <r>
    <n v="290"/>
    <x v="289"/>
    <x v="0"/>
    <n v="1906"/>
    <n v="1457"/>
    <n v="2243"/>
    <n v="645"/>
    <n v="712"/>
    <n v="0.39127048800000003"/>
    <n v="2.0309896539999999"/>
    <n v="4247"/>
    <n v="680"/>
    <n v="1"/>
    <n v="1.7228194370000001"/>
    <n v="0.96806724"/>
    <b v="0"/>
    <n v="0.36794767"/>
    <n v="1"/>
    <s v="Oct"/>
    <n v="2025"/>
    <s v="Q4"/>
  </r>
  <r>
    <n v="291"/>
    <x v="290"/>
    <x v="2"/>
    <n v="4574"/>
    <n v="1969"/>
    <n v="2539"/>
    <n v="4875"/>
    <n v="1627"/>
    <n v="0.21337498699999999"/>
    <n v="0.95874697499999995"/>
    <n v="4987"/>
    <n v="1485"/>
    <n v="3"/>
    <n v="1.2602371880000001"/>
    <n v="0.88242510299999999"/>
    <b v="0"/>
    <n v="0.91332788200000004"/>
    <n v="1"/>
    <s v="Oct"/>
    <n v="2025"/>
    <s v="Q4"/>
  </r>
  <r>
    <n v="292"/>
    <x v="291"/>
    <x v="3"/>
    <n v="3727"/>
    <n v="568"/>
    <n v="3449"/>
    <n v="2479"/>
    <n v="1141"/>
    <n v="0.39425786800000001"/>
    <n v="2.3756092190000002"/>
    <n v="4156"/>
    <n v="3751"/>
    <n v="5"/>
    <n v="1.8741502189999999"/>
    <n v="0.95501812600000002"/>
    <b v="0"/>
    <n v="0.74018806199999998"/>
    <n v="1"/>
    <s v="Oct"/>
    <n v="2025"/>
    <s v="Q4"/>
  </r>
  <r>
    <n v="293"/>
    <x v="292"/>
    <x v="1"/>
    <n v="3444"/>
    <n v="1623"/>
    <n v="1628"/>
    <n v="1370"/>
    <n v="1975"/>
    <n v="0.66489685899999995"/>
    <n v="2.388912071"/>
    <n v="2913"/>
    <n v="3651"/>
    <n v="9"/>
    <n v="0.70208406700000003"/>
    <n v="0.94862231600000002"/>
    <b v="0"/>
    <n v="0.68233851199999995"/>
    <n v="1"/>
    <s v="Oct"/>
    <n v="2025"/>
    <s v="Q4"/>
  </r>
  <r>
    <n v="294"/>
    <x v="293"/>
    <x v="1"/>
    <n v="3915"/>
    <n v="2533"/>
    <n v="1828"/>
    <n v="910"/>
    <n v="2919"/>
    <n v="0.58915277700000002"/>
    <n v="2.620584772"/>
    <n v="3170"/>
    <n v="3629"/>
    <n v="4"/>
    <n v="1.237539715"/>
    <n v="0.94629898499999998"/>
    <b v="0"/>
    <n v="0.77861815199999995"/>
    <n v="1"/>
    <s v="Oct"/>
    <n v="2025"/>
    <s v="Q4"/>
  </r>
  <r>
    <n v="295"/>
    <x v="294"/>
    <x v="3"/>
    <n v="574"/>
    <n v="621"/>
    <n v="1150"/>
    <n v="2783"/>
    <n v="724"/>
    <n v="0.77413770199999998"/>
    <n v="1.561760976"/>
    <n v="2723"/>
    <n v="2076"/>
    <n v="7"/>
    <n v="1.419184843"/>
    <n v="0.93138309799999996"/>
    <b v="0"/>
    <n v="9.5666394000000002E-2"/>
    <n v="1"/>
    <s v="Oct"/>
    <n v="2025"/>
    <s v="Q4"/>
  </r>
  <r>
    <n v="296"/>
    <x v="295"/>
    <x v="2"/>
    <n v="3224"/>
    <n v="3104"/>
    <n v="3680"/>
    <n v="3230"/>
    <n v="1982"/>
    <n v="0.78278022999999997"/>
    <n v="2.8129377679999998"/>
    <n v="518"/>
    <n v="3025"/>
    <n v="6"/>
    <n v="0.54803333200000004"/>
    <n v="0.85342967400000003"/>
    <b v="0"/>
    <n v="0.63736713"/>
    <n v="1"/>
    <s v="Oct"/>
    <n v="2025"/>
    <s v="Q4"/>
  </r>
  <r>
    <n v="297"/>
    <x v="296"/>
    <x v="0"/>
    <n v="2679"/>
    <n v="2028"/>
    <n v="3080"/>
    <n v="2877"/>
    <n v="2877"/>
    <n v="0.74862212699999997"/>
    <n v="2.488022178"/>
    <n v="2169"/>
    <n v="145"/>
    <n v="8"/>
    <n v="1.060179137"/>
    <n v="0.80594618399999995"/>
    <b v="0"/>
    <n v="0.52596075200000003"/>
    <n v="1"/>
    <s v="Oct"/>
    <n v="2025"/>
    <s v="Q4"/>
  </r>
  <r>
    <n v="298"/>
    <x v="297"/>
    <x v="0"/>
    <n v="779"/>
    <n v="1337"/>
    <n v="1865"/>
    <n v="3993"/>
    <n v="3079"/>
    <n v="0.65356519599999996"/>
    <n v="1.1148989680000001"/>
    <n v="2217"/>
    <n v="261"/>
    <n v="4"/>
    <n v="0.57408501300000003"/>
    <n v="0.98155541400000001"/>
    <b v="0"/>
    <n v="0.13757154499999999"/>
    <n v="1"/>
    <s v="Oct"/>
    <n v="2025"/>
    <s v="Q4"/>
  </r>
  <r>
    <n v="299"/>
    <x v="298"/>
    <x v="3"/>
    <n v="1408"/>
    <n v="2833"/>
    <n v="2561"/>
    <n v="1467"/>
    <n v="3539"/>
    <n v="0.24142448899999999"/>
    <n v="2.8734754109999998"/>
    <n v="2095"/>
    <n v="1383"/>
    <n v="1"/>
    <n v="0.55762492299999999"/>
    <n v="0.89919545899999997"/>
    <b v="0"/>
    <n v="0.26614881400000001"/>
    <n v="1"/>
    <s v="Oct"/>
    <n v="2025"/>
    <s v="Q4"/>
  </r>
  <r>
    <n v="300"/>
    <x v="299"/>
    <x v="2"/>
    <n v="4464"/>
    <n v="4010"/>
    <n v="3702"/>
    <n v="2682"/>
    <n v="3869"/>
    <n v="0.59427538499999999"/>
    <n v="2.0339354300000001"/>
    <n v="3576"/>
    <n v="631"/>
    <n v="6"/>
    <n v="1.0099985890000001"/>
    <n v="0.83682133299999995"/>
    <b v="0"/>
    <n v="0.89084219099999995"/>
    <n v="1"/>
    <s v="Oct"/>
    <n v="2025"/>
    <s v="Q4"/>
  </r>
  <r>
    <n v="301"/>
    <x v="300"/>
    <x v="3"/>
    <n v="2528"/>
    <n v="4089"/>
    <n v="3279"/>
    <n v="896"/>
    <n v="2944"/>
    <n v="0.55268443899999997"/>
    <n v="1.1448509840000001"/>
    <n v="1126"/>
    <n v="2413"/>
    <n v="5"/>
    <n v="1.0569209559999999"/>
    <n v="0.88533013100000002"/>
    <b v="0"/>
    <n v="0.49509403099999999"/>
    <n v="1"/>
    <s v="Oct"/>
    <n v="2025"/>
    <s v="Q4"/>
  </r>
  <r>
    <n v="302"/>
    <x v="301"/>
    <x v="1"/>
    <n v="2943"/>
    <n v="2780"/>
    <n v="1404"/>
    <n v="955"/>
    <n v="1214"/>
    <n v="0.52070046199999998"/>
    <n v="1.167135577"/>
    <n v="2417"/>
    <n v="2367"/>
    <n v="2"/>
    <n v="1.818312822"/>
    <n v="0.80727143599999995"/>
    <b v="0"/>
    <n v="0.57992641"/>
    <n v="1"/>
    <s v="Oct"/>
    <n v="2025"/>
    <s v="Q4"/>
  </r>
  <r>
    <n v="303"/>
    <x v="302"/>
    <x v="2"/>
    <n v="764"/>
    <n v="4014"/>
    <n v="1850"/>
    <n v="3801"/>
    <n v="3476"/>
    <n v="0.228453564"/>
    <n v="1.6472518739999999"/>
    <n v="298"/>
    <n v="1886"/>
    <n v="9"/>
    <n v="1.870887143"/>
    <n v="0.986056131"/>
    <b v="0"/>
    <n v="0.13450531499999999"/>
    <n v="1"/>
    <s v="Oct"/>
    <n v="2025"/>
    <s v="Q4"/>
  </r>
  <r>
    <n v="304"/>
    <x v="303"/>
    <x v="2"/>
    <n v="4147"/>
    <n v="2746"/>
    <n v="2596"/>
    <n v="3167"/>
    <n v="3604"/>
    <n v="0.25500751700000002"/>
    <n v="1.00483649"/>
    <n v="2678"/>
    <n v="1448"/>
    <n v="5"/>
    <n v="0.51385778900000001"/>
    <n v="0.97103909600000005"/>
    <b v="0"/>
    <n v="0.82604251799999995"/>
    <n v="1"/>
    <s v="Oct"/>
    <n v="2025"/>
    <s v="Q4"/>
  </r>
  <r>
    <n v="305"/>
    <x v="304"/>
    <x v="2"/>
    <n v="3366"/>
    <n v="1779"/>
    <n v="979"/>
    <n v="3123"/>
    <n v="3572"/>
    <n v="0.34795655199999997"/>
    <n v="0.60358830299999999"/>
    <n v="3773"/>
    <n v="213"/>
    <n v="9"/>
    <n v="1.7685449520000001"/>
    <n v="0.919970026"/>
    <b v="0"/>
    <n v="0.66639411299999995"/>
    <n v="1"/>
    <s v="Nov"/>
    <n v="2025"/>
    <s v="Q4"/>
  </r>
  <r>
    <n v="306"/>
    <x v="305"/>
    <x v="0"/>
    <n v="3653"/>
    <n v="2849"/>
    <n v="441"/>
    <n v="2045"/>
    <n v="1719"/>
    <n v="0.36616226800000001"/>
    <n v="1.4819607050000001"/>
    <n v="2638"/>
    <n v="1054"/>
    <n v="1"/>
    <n v="1.661328232"/>
    <n v="0.92965653599999998"/>
    <b v="0"/>
    <n v="0.72506132499999998"/>
    <n v="1"/>
    <s v="Nov"/>
    <n v="2025"/>
    <s v="Q4"/>
  </r>
  <r>
    <n v="307"/>
    <x v="306"/>
    <x v="3"/>
    <n v="1804"/>
    <n v="1833"/>
    <n v="2413"/>
    <n v="1539"/>
    <n v="3941"/>
    <n v="0.76674447099999998"/>
    <n v="2.8117577210000002"/>
    <n v="534"/>
    <n v="278"/>
    <n v="2"/>
    <n v="1.2061351119999999"/>
    <n v="0.86106712699999999"/>
    <b v="0"/>
    <n v="0.347097302"/>
    <n v="1"/>
    <s v="Nov"/>
    <n v="2025"/>
    <s v="Q4"/>
  </r>
  <r>
    <n v="308"/>
    <x v="307"/>
    <x v="2"/>
    <n v="3328"/>
    <n v="1908"/>
    <n v="3401"/>
    <n v="1429"/>
    <n v="403"/>
    <n v="0.27725100899999999"/>
    <n v="2.5755776969999999"/>
    <n v="4473"/>
    <n v="3209"/>
    <n v="7"/>
    <n v="1.569638468"/>
    <n v="0.82040210099999999"/>
    <b v="0"/>
    <n v="0.65862632899999995"/>
    <n v="1"/>
    <s v="Nov"/>
    <n v="2025"/>
    <s v="Q4"/>
  </r>
  <r>
    <n v="309"/>
    <x v="308"/>
    <x v="1"/>
    <n v="1879"/>
    <n v="2078"/>
    <n v="3464"/>
    <n v="2946"/>
    <n v="3470"/>
    <n v="0.37875128299999999"/>
    <n v="1.1466391199999999"/>
    <n v="3643"/>
    <n v="1529"/>
    <n v="1"/>
    <n v="1.3538502269999999"/>
    <n v="0.98168148899999996"/>
    <b v="0"/>
    <n v="0.36242845499999998"/>
    <n v="1"/>
    <s v="Nov"/>
    <n v="2025"/>
    <s v="Q4"/>
  </r>
  <r>
    <n v="310"/>
    <x v="309"/>
    <x v="0"/>
    <n v="2126"/>
    <n v="1763"/>
    <n v="2858"/>
    <n v="2372"/>
    <n v="1708"/>
    <n v="0.244209701"/>
    <n v="2.9587253580000001"/>
    <n v="1379"/>
    <n v="1040"/>
    <n v="4"/>
    <n v="0.83850269700000002"/>
    <n v="0.84090098899999999"/>
    <b v="0"/>
    <n v="0.41291905200000001"/>
    <n v="1"/>
    <s v="Nov"/>
    <n v="2025"/>
    <s v="Q4"/>
  </r>
  <r>
    <n v="311"/>
    <x v="310"/>
    <x v="0"/>
    <n v="4024"/>
    <n v="2060"/>
    <n v="2342"/>
    <n v="710"/>
    <n v="515"/>
    <n v="0.703674876"/>
    <n v="2.249387113"/>
    <n v="2857"/>
    <n v="1676"/>
    <n v="1"/>
    <n v="0.723949065"/>
    <n v="0.972103457"/>
    <b v="0"/>
    <n v="0.80089942800000002"/>
    <n v="1"/>
    <s v="Nov"/>
    <n v="2025"/>
    <s v="Q4"/>
  </r>
  <r>
    <n v="312"/>
    <x v="311"/>
    <x v="0"/>
    <n v="3949"/>
    <n v="3938"/>
    <n v="3935"/>
    <n v="531"/>
    <n v="1133"/>
    <n v="0.77080580300000001"/>
    <n v="1.913027239"/>
    <n v="1045"/>
    <n v="3235"/>
    <n v="8"/>
    <n v="0.65397412700000002"/>
    <n v="0.951779351"/>
    <b v="0"/>
    <n v="0.78556827500000004"/>
    <n v="1"/>
    <s v="Nov"/>
    <n v="2025"/>
    <s v="Q4"/>
  </r>
  <r>
    <n v="313"/>
    <x v="312"/>
    <x v="2"/>
    <n v="1742"/>
    <n v="2645"/>
    <n v="3988"/>
    <n v="2226"/>
    <n v="1782"/>
    <n v="0.71964139599999999"/>
    <n v="2.1438904970000001"/>
    <n v="2350"/>
    <n v="1677"/>
    <n v="1"/>
    <n v="1.119501538"/>
    <n v="0.92577722900000003"/>
    <b v="0"/>
    <n v="0.33442354899999999"/>
    <n v="1"/>
    <s v="Nov"/>
    <n v="2025"/>
    <s v="Q4"/>
  </r>
  <r>
    <n v="314"/>
    <x v="313"/>
    <x v="0"/>
    <n v="231"/>
    <n v="3854"/>
    <n v="3708"/>
    <n v="855"/>
    <n v="1243"/>
    <n v="0.25113804200000001"/>
    <n v="1.2796455959999999"/>
    <n v="1464"/>
    <n v="1925"/>
    <n v="4"/>
    <n v="0.89668963700000004"/>
    <n v="0.87423172299999996"/>
    <b v="0"/>
    <n v="2.5551922000000001E-2"/>
    <n v="1"/>
    <s v="Nov"/>
    <n v="2025"/>
    <s v="Q4"/>
  </r>
  <r>
    <n v="315"/>
    <x v="314"/>
    <x v="3"/>
    <n v="1947"/>
    <n v="1800"/>
    <n v="2301"/>
    <n v="2285"/>
    <n v="301"/>
    <n v="0.61418822200000001"/>
    <n v="1.098223081"/>
    <n v="1252"/>
    <n v="2900"/>
    <n v="4"/>
    <n v="0.99893237599999996"/>
    <n v="0.92928254099999996"/>
    <b v="0"/>
    <n v="0.37632870000000002"/>
    <n v="1"/>
    <s v="Nov"/>
    <n v="2025"/>
    <s v="Q4"/>
  </r>
  <r>
    <n v="316"/>
    <x v="315"/>
    <x v="1"/>
    <n v="4247"/>
    <n v="2069"/>
    <n v="2201"/>
    <n v="2439"/>
    <n v="346"/>
    <n v="0.31008612400000002"/>
    <n v="2.2602890599999998"/>
    <n v="4200"/>
    <n v="2648"/>
    <n v="8"/>
    <n v="1.1161683259999999"/>
    <n v="0.94859307100000001"/>
    <b v="0"/>
    <n v="0.84648405599999998"/>
    <n v="1"/>
    <s v="Nov"/>
    <n v="2025"/>
    <s v="Q4"/>
  </r>
  <r>
    <n v="317"/>
    <x v="316"/>
    <x v="0"/>
    <n v="1403"/>
    <n v="4009"/>
    <n v="570"/>
    <n v="591"/>
    <n v="2501"/>
    <n v="0.75782155299999998"/>
    <n v="1.9569078769999999"/>
    <n v="2130"/>
    <n v="1712"/>
    <n v="2"/>
    <n v="1.3184644649999999"/>
    <n v="0.88209405600000002"/>
    <b v="0"/>
    <n v="0.26512673799999997"/>
    <n v="1"/>
    <s v="Nov"/>
    <n v="2025"/>
    <s v="Q4"/>
  </r>
  <r>
    <n v="318"/>
    <x v="317"/>
    <x v="2"/>
    <n v="4526"/>
    <n v="4168"/>
    <n v="684"/>
    <n v="2210"/>
    <n v="613"/>
    <n v="0.315443841"/>
    <n v="0.91618403999999998"/>
    <n v="2445"/>
    <n v="586"/>
    <n v="3"/>
    <n v="0.53095641900000001"/>
    <n v="0.85626972899999998"/>
    <b v="0"/>
    <n v="0.90351594400000002"/>
    <n v="1"/>
    <s v="Nov"/>
    <n v="2025"/>
    <s v="Q4"/>
  </r>
  <r>
    <n v="319"/>
    <x v="318"/>
    <x v="0"/>
    <n v="295"/>
    <n v="1508"/>
    <n v="1696"/>
    <n v="684"/>
    <n v="2098"/>
    <n v="0.67334419700000003"/>
    <n v="2.9142126290000001"/>
    <n v="4474"/>
    <n v="2738"/>
    <n v="7"/>
    <n v="1.661817828"/>
    <n v="0.83256742299999997"/>
    <b v="0"/>
    <n v="3.8634505E-2"/>
    <n v="1"/>
    <s v="Nov"/>
    <n v="2025"/>
    <s v="Q4"/>
  </r>
  <r>
    <n v="320"/>
    <x v="319"/>
    <x v="2"/>
    <n v="4564"/>
    <n v="2070"/>
    <n v="2044"/>
    <n v="524"/>
    <n v="3945"/>
    <n v="0.75044833700000002"/>
    <n v="1.45601168"/>
    <n v="2979"/>
    <n v="2841"/>
    <n v="9"/>
    <n v="0.66154829400000004"/>
    <n v="0.96422831200000003"/>
    <b v="0"/>
    <n v="0.91128372899999999"/>
    <n v="1"/>
    <s v="Nov"/>
    <n v="2025"/>
    <s v="Q4"/>
  </r>
  <r>
    <n v="321"/>
    <x v="320"/>
    <x v="2"/>
    <n v="298"/>
    <n v="1227"/>
    <n v="2242"/>
    <n v="611"/>
    <n v="1423"/>
    <n v="0.319040659"/>
    <n v="2.4949869339999999"/>
    <n v="4272"/>
    <n v="3717"/>
    <n v="2"/>
    <n v="1.8414732810000001"/>
    <n v="0.95784754500000002"/>
    <b v="0"/>
    <n v="3.9247750999999997E-2"/>
    <n v="1"/>
    <s v="Nov"/>
    <n v="2025"/>
    <s v="Q4"/>
  </r>
  <r>
    <n v="322"/>
    <x v="321"/>
    <x v="3"/>
    <n v="3486"/>
    <n v="630"/>
    <n v="3059"/>
    <n v="2607"/>
    <n v="2503"/>
    <n v="0.607736202"/>
    <n v="0.86193761599999996"/>
    <n v="4034"/>
    <n v="3273"/>
    <n v="4"/>
    <n v="0.54955457500000005"/>
    <n v="0.94122117900000002"/>
    <b v="0"/>
    <n v="0.69092395699999998"/>
    <n v="1"/>
    <s v="Nov"/>
    <n v="2025"/>
    <s v="Q4"/>
  </r>
  <r>
    <n v="323"/>
    <x v="322"/>
    <x v="3"/>
    <n v="2737"/>
    <n v="2822"/>
    <n v="2520"/>
    <n v="1630"/>
    <n v="322"/>
    <n v="0.44120197799999999"/>
    <n v="1.103573106"/>
    <n v="4034"/>
    <n v="3638"/>
    <n v="5"/>
    <n v="0.99385067999999999"/>
    <n v="0.94681907099999996"/>
    <b v="0"/>
    <n v="0.53781684399999996"/>
    <n v="0"/>
    <s v="Nov"/>
    <n v="2025"/>
    <s v="Q4"/>
  </r>
  <r>
    <n v="324"/>
    <x v="323"/>
    <x v="1"/>
    <n v="2978"/>
    <n v="2907"/>
    <n v="3881"/>
    <n v="4473"/>
    <n v="1415"/>
    <n v="0.712397155"/>
    <n v="1.9174330829999999"/>
    <n v="2318"/>
    <n v="398"/>
    <n v="5"/>
    <n v="1.0601081960000001"/>
    <n v="0.903719932"/>
    <b v="0"/>
    <n v="0.58708094799999999"/>
    <n v="1"/>
    <s v="Nov"/>
    <n v="2025"/>
    <s v="Q4"/>
  </r>
  <r>
    <n v="325"/>
    <x v="324"/>
    <x v="3"/>
    <n v="175"/>
    <n v="1398"/>
    <n v="2620"/>
    <n v="1197"/>
    <n v="2034"/>
    <n v="0.40973875100000001"/>
    <n v="2.3942959959999999"/>
    <n v="4043"/>
    <n v="3973"/>
    <n v="9"/>
    <n v="1.784078998"/>
    <n v="0.91137765999999998"/>
    <b v="0"/>
    <n v="1.4104660999999999E-2"/>
    <n v="1"/>
    <s v="Nov"/>
    <n v="2025"/>
    <s v="Q4"/>
  </r>
  <r>
    <n v="326"/>
    <x v="325"/>
    <x v="0"/>
    <n v="3125"/>
    <n v="1103"/>
    <n v="1868"/>
    <n v="862"/>
    <n v="1350"/>
    <n v="0.77291388900000002"/>
    <n v="2.640404969"/>
    <n v="2405"/>
    <n v="3016"/>
    <n v="5"/>
    <n v="1.2789865920000001"/>
    <n v="0.909968318"/>
    <b v="0"/>
    <n v="0.61713000799999995"/>
    <n v="1"/>
    <s v="Nov"/>
    <n v="2025"/>
    <s v="Q4"/>
  </r>
  <r>
    <n v="327"/>
    <x v="326"/>
    <x v="2"/>
    <n v="656"/>
    <n v="2468"/>
    <n v="3523"/>
    <n v="2467"/>
    <n v="264"/>
    <n v="0.39266964900000001"/>
    <n v="1.3016931730000001"/>
    <n v="1097"/>
    <n v="147"/>
    <n v="2"/>
    <n v="1.173983518"/>
    <n v="0.85285879499999995"/>
    <b v="0"/>
    <n v="0.112428455"/>
    <n v="1"/>
    <s v="Nov"/>
    <n v="2025"/>
    <s v="Q4"/>
  </r>
  <r>
    <n v="328"/>
    <x v="327"/>
    <x v="3"/>
    <n v="4031"/>
    <n v="748"/>
    <n v="755"/>
    <n v="2064"/>
    <n v="2601"/>
    <n v="0.51783084300000004"/>
    <n v="0.93363953600000005"/>
    <n v="968"/>
    <n v="900"/>
    <n v="2"/>
    <n v="1.484193592"/>
    <n v="0.89772264999999996"/>
    <b v="0"/>
    <n v="0.80233033499999995"/>
    <n v="1"/>
    <s v="Nov"/>
    <n v="2025"/>
    <s v="Q4"/>
  </r>
  <r>
    <n v="329"/>
    <x v="328"/>
    <x v="2"/>
    <n v="3314"/>
    <n v="4088"/>
    <n v="615"/>
    <n v="3979"/>
    <n v="1490"/>
    <n v="0.74921772799999997"/>
    <n v="1.5868488080000001"/>
    <n v="4241"/>
    <n v="3725"/>
    <n v="9"/>
    <n v="1.7257153009999999"/>
    <n v="0.97248063200000001"/>
    <b v="0"/>
    <n v="0.65576451300000005"/>
    <n v="1"/>
    <s v="Nov"/>
    <n v="2025"/>
    <s v="Q4"/>
  </r>
  <r>
    <n v="330"/>
    <x v="329"/>
    <x v="0"/>
    <n v="253"/>
    <n v="2563"/>
    <n v="1048"/>
    <n v="4959"/>
    <n v="1808"/>
    <n v="0.46478335399999998"/>
    <n v="1.815487305"/>
    <n v="2142"/>
    <n v="829"/>
    <n v="2"/>
    <n v="1.5882219179999999"/>
    <n v="0.96350026099999997"/>
    <b v="0"/>
    <n v="3.0049059999999999E-2"/>
    <n v="1"/>
    <s v="Nov"/>
    <n v="2025"/>
    <s v="Q4"/>
  </r>
  <r>
    <n v="331"/>
    <x v="330"/>
    <x v="1"/>
    <n v="1044"/>
    <n v="3812"/>
    <n v="1886"/>
    <n v="842"/>
    <n v="3756"/>
    <n v="0.348043936"/>
    <n v="1.463948005"/>
    <n v="2988"/>
    <n v="597"/>
    <n v="1"/>
    <n v="1.2590567779999999"/>
    <n v="0.87592375700000003"/>
    <b v="0"/>
    <n v="0.191741619"/>
    <n v="1"/>
    <s v="Nov"/>
    <n v="2025"/>
    <s v="Q4"/>
  </r>
  <r>
    <n v="332"/>
    <x v="331"/>
    <x v="0"/>
    <n v="2144"/>
    <n v="4107"/>
    <n v="482"/>
    <n v="2480"/>
    <n v="3763"/>
    <n v="0.347136006"/>
    <n v="0.74738070599999995"/>
    <n v="1538"/>
    <n v="1284"/>
    <n v="8"/>
    <n v="1.053221062"/>
    <n v="0.88005318499999996"/>
    <b v="0"/>
    <n v="0.41659852800000002"/>
    <n v="1"/>
    <s v="Nov"/>
    <n v="2025"/>
    <s v="Q4"/>
  </r>
  <r>
    <n v="333"/>
    <x v="332"/>
    <x v="2"/>
    <n v="1080"/>
    <n v="3181"/>
    <n v="3499"/>
    <n v="2243"/>
    <n v="1669"/>
    <n v="0.67130597000000003"/>
    <n v="1.564201607"/>
    <n v="1567"/>
    <n v="2249"/>
    <n v="9"/>
    <n v="0.52699774600000004"/>
    <n v="0.90195935400000005"/>
    <b v="0"/>
    <n v="0.199100572"/>
    <n v="1"/>
    <s v="Nov"/>
    <n v="2025"/>
    <s v="Q4"/>
  </r>
  <r>
    <n v="334"/>
    <x v="333"/>
    <x v="3"/>
    <n v="830"/>
    <n v="1721"/>
    <n v="319"/>
    <n v="1643"/>
    <n v="2870"/>
    <n v="0.508045741"/>
    <n v="2.8442686190000002"/>
    <n v="1115"/>
    <n v="1715"/>
    <n v="5"/>
    <n v="0.56821247500000005"/>
    <n v="0.87530993999999995"/>
    <b v="0"/>
    <n v="0.14799672899999999"/>
    <n v="1"/>
    <s v="Nov"/>
    <n v="2025"/>
    <s v="Q4"/>
  </r>
  <r>
    <n v="335"/>
    <x v="334"/>
    <x v="0"/>
    <n v="795"/>
    <n v="2003"/>
    <n v="3672"/>
    <n v="4057"/>
    <n v="108"/>
    <n v="0.33527251400000002"/>
    <n v="0.53817432399999998"/>
    <n v="3896"/>
    <n v="3173"/>
    <n v="6"/>
    <n v="1.426287895"/>
    <n v="0.80889277000000004"/>
    <b v="0"/>
    <n v="0.14084219100000001"/>
    <n v="1"/>
    <s v="Dec"/>
    <n v="2025"/>
    <s v="Q4"/>
  </r>
  <r>
    <n v="336"/>
    <x v="335"/>
    <x v="3"/>
    <n v="1056"/>
    <n v="2361"/>
    <n v="1597"/>
    <n v="1367"/>
    <n v="1380"/>
    <n v="0.76848693000000001"/>
    <n v="2.9146270150000002"/>
    <n v="1871"/>
    <n v="1862"/>
    <n v="5"/>
    <n v="1.2964546699999999"/>
    <n v="0.84292949299999997"/>
    <b v="0"/>
    <n v="0.19419460299999999"/>
    <n v="0"/>
    <s v="Dec"/>
    <n v="2025"/>
    <s v="Q4"/>
  </r>
  <r>
    <n v="337"/>
    <x v="336"/>
    <x v="1"/>
    <n v="739"/>
    <n v="3338"/>
    <n v="725"/>
    <n v="3278"/>
    <n v="3506"/>
    <n v="0.22933034899999999"/>
    <n v="1.2463118049999999"/>
    <n v="2450"/>
    <n v="3288"/>
    <n v="4"/>
    <n v="1.897578102"/>
    <n v="0.96688697599999995"/>
    <b v="0"/>
    <n v="0.12939492999999999"/>
    <n v="1"/>
    <s v="Dec"/>
    <n v="2025"/>
    <s v="Q4"/>
  </r>
  <r>
    <n v="338"/>
    <x v="337"/>
    <x v="3"/>
    <n v="2138"/>
    <n v="2333"/>
    <n v="974"/>
    <n v="2714"/>
    <n v="3985"/>
    <n v="0.58578106799999996"/>
    <n v="1.8021580479999999"/>
    <n v="2232"/>
    <n v="3467"/>
    <n v="6"/>
    <n v="0.78731720000000005"/>
    <n v="0.85564794799999999"/>
    <b v="0"/>
    <n v="0.415372036"/>
    <n v="1"/>
    <s v="Dec"/>
    <n v="2025"/>
    <s v="Q4"/>
  </r>
  <r>
    <n v="339"/>
    <x v="338"/>
    <x v="0"/>
    <n v="4222"/>
    <n v="1229"/>
    <n v="3025"/>
    <n v="4206"/>
    <n v="1999"/>
    <n v="0.32788948400000001"/>
    <n v="2.6808164900000002"/>
    <n v="4445"/>
    <n v="520"/>
    <n v="7"/>
    <n v="1.5844678240000001"/>
    <n v="0.95069730500000005"/>
    <b v="0"/>
    <n v="0.84137367100000005"/>
    <n v="1"/>
    <s v="Dec"/>
    <n v="2025"/>
    <s v="Q4"/>
  </r>
  <r>
    <n v="340"/>
    <x v="339"/>
    <x v="0"/>
    <n v="900"/>
    <n v="1472"/>
    <n v="216"/>
    <n v="2585"/>
    <n v="959"/>
    <n v="0.64297710500000005"/>
    <n v="2.0491999019999998"/>
    <n v="1358"/>
    <n v="2037"/>
    <n v="5"/>
    <n v="1.607591378"/>
    <n v="0.80909983500000004"/>
    <b v="0"/>
    <n v="0.162305805"/>
    <n v="1"/>
    <s v="Dec"/>
    <n v="2025"/>
    <s v="Q4"/>
  </r>
  <r>
    <n v="341"/>
    <x v="340"/>
    <x v="0"/>
    <n v="1388"/>
    <n v="3773"/>
    <n v="1294"/>
    <n v="4758"/>
    <n v="3495"/>
    <n v="0.72798757999999997"/>
    <n v="2.9694920749999998"/>
    <n v="1291"/>
    <n v="1214"/>
    <n v="5"/>
    <n v="1.1800231910000001"/>
    <n v="0.97608492400000002"/>
    <b v="0"/>
    <n v="0.262060507"/>
    <n v="1"/>
    <s v="Dec"/>
    <n v="2025"/>
    <s v="Q4"/>
  </r>
  <r>
    <n v="342"/>
    <x v="341"/>
    <x v="3"/>
    <n v="4984"/>
    <n v="1844"/>
    <n v="3017"/>
    <n v="1919"/>
    <n v="937"/>
    <n v="0.62141155599999998"/>
    <n v="1.1509223420000001"/>
    <n v="3128"/>
    <n v="2296"/>
    <n v="4"/>
    <n v="1.95508481"/>
    <n v="0.99491686499999998"/>
    <b v="0"/>
    <n v="0.99713818499999995"/>
    <n v="1"/>
    <s v="Dec"/>
    <n v="2025"/>
    <s v="Q4"/>
  </r>
  <r>
    <n v="343"/>
    <x v="342"/>
    <x v="3"/>
    <n v="3292"/>
    <n v="2926"/>
    <n v="1418"/>
    <n v="4543"/>
    <n v="3736"/>
    <n v="0.74974494300000005"/>
    <n v="2.1536109460000001"/>
    <n v="4659"/>
    <n v="1942"/>
    <n v="3"/>
    <n v="1.790580826"/>
    <n v="0.882260826"/>
    <b v="0"/>
    <n v="0.65126737499999998"/>
    <n v="1"/>
    <s v="Dec"/>
    <n v="2025"/>
    <s v="Q4"/>
  </r>
  <r>
    <n v="344"/>
    <x v="343"/>
    <x v="0"/>
    <n v="4770"/>
    <n v="886"/>
    <n v="3352"/>
    <n v="1391"/>
    <n v="3716"/>
    <n v="0.64215134600000001"/>
    <n v="1.587732111"/>
    <n v="1825"/>
    <n v="3747"/>
    <n v="9"/>
    <n v="1.8970408050000001"/>
    <n v="0.96066798799999997"/>
    <b v="0"/>
    <n v="0.95339329500000003"/>
    <n v="1"/>
    <s v="Dec"/>
    <n v="2025"/>
    <s v="Q4"/>
  </r>
  <r>
    <n v="345"/>
    <x v="344"/>
    <x v="2"/>
    <n v="2203"/>
    <n v="3236"/>
    <n v="1615"/>
    <n v="1408"/>
    <n v="163"/>
    <n v="0.679901278"/>
    <n v="1.160727858"/>
    <n v="2043"/>
    <n v="3320"/>
    <n v="7"/>
    <n v="1.868768931"/>
    <n v="0.81639948600000001"/>
    <b v="0"/>
    <n v="0.42865903500000002"/>
    <n v="1"/>
    <s v="Dec"/>
    <n v="2025"/>
    <s v="Q4"/>
  </r>
  <r>
    <n v="346"/>
    <x v="345"/>
    <x v="1"/>
    <n v="4865"/>
    <n v="3059"/>
    <n v="2722"/>
    <n v="1831"/>
    <n v="2253"/>
    <n v="0.67894089400000002"/>
    <n v="0.65942498400000005"/>
    <n v="3509"/>
    <n v="286"/>
    <n v="2"/>
    <n v="0.84685629600000001"/>
    <n v="0.96399869800000004"/>
    <b v="0"/>
    <n v="0.97281275599999995"/>
    <n v="1"/>
    <s v="Dec"/>
    <n v="2025"/>
    <s v="Q4"/>
  </r>
  <r>
    <n v="347"/>
    <x v="346"/>
    <x v="3"/>
    <n v="4763"/>
    <n v="915"/>
    <n v="1246"/>
    <n v="1147"/>
    <n v="3011"/>
    <n v="0.76430564300000003"/>
    <n v="1.048171645"/>
    <n v="2802"/>
    <n v="3062"/>
    <n v="8"/>
    <n v="0.50006626899999995"/>
    <n v="0.96751747799999999"/>
    <b v="0"/>
    <n v="0.95196238799999999"/>
    <n v="1"/>
    <s v="Dec"/>
    <n v="2025"/>
    <s v="Q4"/>
  </r>
  <r>
    <n v="348"/>
    <x v="347"/>
    <x v="3"/>
    <n v="2009"/>
    <n v="3575"/>
    <n v="2922"/>
    <n v="2538"/>
    <n v="476"/>
    <n v="0.40782825299999997"/>
    <n v="1.0514930549999999"/>
    <n v="491"/>
    <n v="779"/>
    <n v="2"/>
    <n v="1.025439371"/>
    <n v="0.829160275"/>
    <b v="1"/>
    <n v="0.38900245300000003"/>
    <n v="1"/>
    <s v="Dec"/>
    <n v="2025"/>
    <s v="Q4"/>
  </r>
  <r>
    <n v="349"/>
    <x v="348"/>
    <x v="0"/>
    <n v="432"/>
    <n v="4311"/>
    <n v="1266"/>
    <n v="485"/>
    <n v="3199"/>
    <n v="0.498649803"/>
    <n v="0.94692950099999995"/>
    <n v="2463"/>
    <n v="1930"/>
    <n v="1"/>
    <n v="1.801334137"/>
    <n v="0.86069233099999998"/>
    <b v="0"/>
    <n v="6.6639410999999996E-2"/>
    <n v="1"/>
    <s v="Dec"/>
    <n v="2025"/>
    <s v="Q4"/>
  </r>
  <r>
    <n v="350"/>
    <x v="349"/>
    <x v="0"/>
    <n v="4995"/>
    <n v="3601"/>
    <n v="3988"/>
    <n v="4600"/>
    <n v="2151"/>
    <n v="0.57961458200000004"/>
    <n v="2.9730633690000001"/>
    <n v="3478"/>
    <n v="710"/>
    <n v="8"/>
    <n v="1.4398434659999999"/>
    <n v="0.80226592500000005"/>
    <b v="1"/>
    <n v="0.99938675399999999"/>
    <n v="1"/>
    <s v="Dec"/>
    <n v="2025"/>
    <s v="Q4"/>
  </r>
  <r>
    <n v="351"/>
    <x v="350"/>
    <x v="1"/>
    <n v="3663"/>
    <n v="2705"/>
    <n v="3489"/>
    <n v="2409"/>
    <n v="3003"/>
    <n v="0.66743131"/>
    <n v="2.7904472880000002"/>
    <n v="2269"/>
    <n v="2528"/>
    <n v="4"/>
    <n v="1.0265940389999999"/>
    <n v="0.84716649200000005"/>
    <b v="0"/>
    <n v="0.72710547800000003"/>
    <n v="1"/>
    <s v="Dec"/>
    <n v="2025"/>
    <s v="Q4"/>
  </r>
  <r>
    <n v="352"/>
    <x v="351"/>
    <x v="2"/>
    <n v="604"/>
    <n v="3247"/>
    <n v="2719"/>
    <n v="631"/>
    <n v="2714"/>
    <n v="0.60085508300000001"/>
    <n v="1.6969974889999999"/>
    <n v="896"/>
    <n v="3480"/>
    <n v="6"/>
    <n v="1.0569214929999999"/>
    <n v="0.881123989"/>
    <b v="0"/>
    <n v="0.10179885499999999"/>
    <n v="1"/>
    <s v="Dec"/>
    <n v="2025"/>
    <s v="Q4"/>
  </r>
  <r>
    <n v="353"/>
    <x v="352"/>
    <x v="1"/>
    <n v="3815"/>
    <n v="3187"/>
    <n v="2027"/>
    <n v="2830"/>
    <n v="1028"/>
    <n v="0.34374308199999998"/>
    <n v="0.80354002400000002"/>
    <n v="3889"/>
    <n v="1201"/>
    <n v="8"/>
    <n v="1.652260753"/>
    <n v="0.98745703900000004"/>
    <b v="0"/>
    <n v="0.758176615"/>
    <n v="1"/>
    <s v="Dec"/>
    <n v="2025"/>
    <s v="Q4"/>
  </r>
  <r>
    <n v="354"/>
    <x v="353"/>
    <x v="3"/>
    <n v="1709"/>
    <n v="2062"/>
    <n v="2707"/>
    <n v="4014"/>
    <n v="3722"/>
    <n v="0.48718321199999998"/>
    <n v="1.218172166"/>
    <n v="1579"/>
    <n v="3927"/>
    <n v="2"/>
    <n v="1.0570227489999999"/>
    <n v="0.831628217"/>
    <b v="0"/>
    <n v="0.32767784100000003"/>
    <n v="1"/>
    <s v="Dec"/>
    <n v="2025"/>
    <s v="Q4"/>
  </r>
  <r>
    <n v="355"/>
    <x v="354"/>
    <x v="3"/>
    <n v="1552"/>
    <n v="1158"/>
    <n v="469"/>
    <n v="3339"/>
    <n v="3536"/>
    <n v="0.40649513399999998"/>
    <n v="2.5249239239999999"/>
    <n v="2855"/>
    <n v="1283"/>
    <n v="1"/>
    <n v="0.63364154100000003"/>
    <n v="0.98257982499999996"/>
    <b v="0"/>
    <n v="0.29558462800000002"/>
    <n v="1"/>
    <s v="Dec"/>
    <n v="2025"/>
    <s v="Q4"/>
  </r>
  <r>
    <n v="356"/>
    <x v="355"/>
    <x v="1"/>
    <n v="2978"/>
    <n v="1270"/>
    <n v="3492"/>
    <n v="476"/>
    <n v="2308"/>
    <n v="0.248454182"/>
    <n v="1.72567062"/>
    <n v="4503"/>
    <n v="2004"/>
    <n v="8"/>
    <n v="0.96114431300000003"/>
    <n v="0.81939485199999995"/>
    <b v="0"/>
    <n v="0.58708094799999999"/>
    <n v="1"/>
    <s v="Dec"/>
    <n v="2025"/>
    <s v="Q4"/>
  </r>
  <r>
    <n v="357"/>
    <x v="356"/>
    <x v="3"/>
    <n v="3157"/>
    <n v="2057"/>
    <n v="355"/>
    <n v="540"/>
    <n v="860"/>
    <n v="0.72084013300000005"/>
    <n v="2.2607962380000002"/>
    <n v="1563"/>
    <n v="377"/>
    <n v="8"/>
    <n v="1.0679961149999999"/>
    <n v="0.98858200100000004"/>
    <b v="0"/>
    <n v="0.62367130000000004"/>
    <n v="1"/>
    <s v="Dec"/>
    <n v="2025"/>
    <s v="Q4"/>
  </r>
  <r>
    <n v="358"/>
    <x v="357"/>
    <x v="0"/>
    <n v="797"/>
    <n v="3241"/>
    <n v="3216"/>
    <n v="373"/>
    <n v="798"/>
    <n v="0.775912559"/>
    <n v="2.1165426279999999"/>
    <n v="3260"/>
    <n v="2408"/>
    <n v="2"/>
    <n v="1.0544671430000001"/>
    <n v="0.86600840099999998"/>
    <b v="0"/>
    <n v="0.141251022"/>
    <n v="1"/>
    <s v="Dec"/>
    <n v="2025"/>
    <s v="Q4"/>
  </r>
  <r>
    <n v="359"/>
    <x v="358"/>
    <x v="0"/>
    <n v="2981"/>
    <n v="3076"/>
    <n v="1788"/>
    <n v="2739"/>
    <n v="1226"/>
    <n v="0.25689451000000002"/>
    <n v="1.2497934749999999"/>
    <n v="4257"/>
    <n v="1844"/>
    <n v="5"/>
    <n v="0.55540104800000001"/>
    <n v="0.98093622999999996"/>
    <b v="0"/>
    <n v="0.58769419499999997"/>
    <n v="1"/>
    <s v="Dec"/>
    <n v="2025"/>
    <s v="Q4"/>
  </r>
  <r>
    <n v="360"/>
    <x v="359"/>
    <x v="3"/>
    <n v="1560"/>
    <n v="2261"/>
    <n v="482"/>
    <n v="1426"/>
    <n v="827"/>
    <n v="0.77796957600000005"/>
    <n v="2.5883659649999999"/>
    <n v="1839"/>
    <n v="1576"/>
    <n v="2"/>
    <n v="1.0460217270000001"/>
    <n v="0.91021676200000001"/>
    <b v="0"/>
    <n v="0.29721995099999998"/>
    <n v="1"/>
    <s v="Dec"/>
    <n v="2025"/>
    <s v="Q4"/>
  </r>
  <r>
    <n v="361"/>
    <x v="360"/>
    <x v="2"/>
    <n v="4728"/>
    <n v="3381"/>
    <n v="3225"/>
    <n v="4706"/>
    <n v="2944"/>
    <n v="0.262675985"/>
    <n v="1.067827442"/>
    <n v="643"/>
    <n v="1259"/>
    <n v="2"/>
    <n v="1.606768677"/>
    <n v="0.949019324"/>
    <b v="0"/>
    <n v="0.94480785"/>
    <n v="1"/>
    <s v="Dec"/>
    <n v="2025"/>
    <s v="Q4"/>
  </r>
  <r>
    <n v="362"/>
    <x v="361"/>
    <x v="0"/>
    <n v="1264"/>
    <n v="593"/>
    <n v="2913"/>
    <n v="776"/>
    <n v="3734"/>
    <n v="0.39326731399999998"/>
    <n v="0.92028149000000004"/>
    <n v="3659"/>
    <n v="3431"/>
    <n v="1"/>
    <n v="1.5775721060000001"/>
    <n v="0.87171316899999995"/>
    <b v="0"/>
    <n v="0.23671300100000001"/>
    <n v="1"/>
    <s v="Dec"/>
    <n v="2025"/>
    <s v="Q4"/>
  </r>
  <r>
    <n v="363"/>
    <x v="362"/>
    <x v="2"/>
    <n v="281"/>
    <n v="2022"/>
    <n v="1274"/>
    <n v="1495"/>
    <n v="170"/>
    <n v="0.785562172"/>
    <n v="0.62225068500000003"/>
    <n v="4055"/>
    <n v="1846"/>
    <n v="6"/>
    <n v="1.256934891"/>
    <n v="0.95041684199999998"/>
    <b v="0"/>
    <n v="3.5772690000000003E-2"/>
    <n v="1"/>
    <s v="Dec"/>
    <n v="2025"/>
    <s v="Q4"/>
  </r>
  <r>
    <n v="364"/>
    <x v="363"/>
    <x v="3"/>
    <n v="818"/>
    <n v="4252"/>
    <n v="2946"/>
    <n v="4964"/>
    <n v="1722"/>
    <n v="0.57884373499999997"/>
    <n v="2.9257877909999999"/>
    <n v="2905"/>
    <n v="3995"/>
    <n v="5"/>
    <n v="1.3120459229999999"/>
    <n v="0.91667804799999997"/>
    <b v="0"/>
    <n v="0.145543745"/>
    <n v="1"/>
    <s v="Dec"/>
    <n v="2025"/>
    <s v="Q4"/>
  </r>
  <r>
    <n v="365"/>
    <x v="364"/>
    <x v="0"/>
    <n v="3149"/>
    <n v="1171"/>
    <n v="782"/>
    <n v="3408"/>
    <n v="974"/>
    <n v="0.50462272100000005"/>
    <n v="1.588239647"/>
    <n v="4175"/>
    <n v="741"/>
    <n v="2"/>
    <n v="0.99194929300000001"/>
    <n v="0.98756304500000003"/>
    <b v="0"/>
    <n v="0.62203597700000002"/>
    <n v="1"/>
    <s v="Dec"/>
    <n v="2025"/>
    <s v="Q4"/>
  </r>
  <r>
    <n v="366"/>
    <x v="365"/>
    <x v="0"/>
    <n v="2837"/>
    <n v="4445"/>
    <n v="3056"/>
    <n v="2493"/>
    <n v="349"/>
    <n v="0.329903528"/>
    <n v="2.9494669390000001"/>
    <n v="2245"/>
    <n v="386"/>
    <n v="4"/>
    <n v="1.0783602379999999"/>
    <n v="0.85393499699999997"/>
    <b v="0"/>
    <n v="0.55825838100000003"/>
    <n v="1"/>
    <s v="Jan"/>
    <n v="2026"/>
    <s v="Q1"/>
  </r>
  <r>
    <n v="367"/>
    <x v="366"/>
    <x v="3"/>
    <n v="1635"/>
    <n v="1425"/>
    <n v="2365"/>
    <n v="3200"/>
    <n v="1860"/>
    <n v="0.36411117500000001"/>
    <n v="1.3732479829999999"/>
    <n v="4722"/>
    <n v="1987"/>
    <n v="7"/>
    <n v="1.3229816969999999"/>
    <n v="0.82217519999999999"/>
    <b v="0"/>
    <n v="0.31255110400000002"/>
    <n v="1"/>
    <s v="Jan"/>
    <n v="2026"/>
    <s v="Q1"/>
  </r>
  <r>
    <n v="368"/>
    <x v="367"/>
    <x v="2"/>
    <n v="4139"/>
    <n v="2737"/>
    <n v="2994"/>
    <n v="4036"/>
    <n v="855"/>
    <n v="0.77051527600000003"/>
    <n v="0.65200135999999997"/>
    <n v="4838"/>
    <n v="1085"/>
    <n v="8"/>
    <n v="0.66389794700000004"/>
    <n v="0.88439829700000006"/>
    <b v="0"/>
    <n v="0.82440719500000004"/>
    <n v="1"/>
    <s v="Jan"/>
    <n v="2026"/>
    <s v="Q1"/>
  </r>
  <r>
    <n v="369"/>
    <x v="368"/>
    <x v="2"/>
    <n v="4669"/>
    <n v="4262"/>
    <n v="2783"/>
    <n v="2546"/>
    <n v="3064"/>
    <n v="0.70316038999999997"/>
    <n v="0.65331727100000003"/>
    <n v="3652"/>
    <n v="3566"/>
    <n v="9"/>
    <n v="1.2160986730000001"/>
    <n v="0.82785423800000002"/>
    <b v="0"/>
    <n v="0.93274734299999995"/>
    <n v="1"/>
    <s v="Jan"/>
    <n v="2026"/>
    <s v="Q1"/>
  </r>
  <r>
    <n v="370"/>
    <x v="369"/>
    <x v="2"/>
    <n v="3019"/>
    <n v="1189"/>
    <n v="3877"/>
    <n v="1312"/>
    <n v="2299"/>
    <n v="0.67626746299999996"/>
    <n v="1.0944907349999999"/>
    <n v="2773"/>
    <n v="2974"/>
    <n v="6"/>
    <n v="1.2271132979999999"/>
    <n v="0.90469700799999997"/>
    <b v="1"/>
    <n v="0.59546197899999997"/>
    <n v="1"/>
    <s v="Jan"/>
    <n v="2026"/>
    <s v="Q1"/>
  </r>
  <r>
    <n v="371"/>
    <x v="370"/>
    <x v="2"/>
    <n v="1236"/>
    <n v="4048"/>
    <n v="2327"/>
    <n v="3082"/>
    <n v="236"/>
    <n v="0.44810372799999998"/>
    <n v="0.69230275200000002"/>
    <n v="4488"/>
    <n v="3790"/>
    <n v="1"/>
    <n v="1.4084653970000001"/>
    <n v="0.81841486500000005"/>
    <b v="0"/>
    <n v="0.23098937"/>
    <n v="1"/>
    <s v="Jan"/>
    <n v="2026"/>
    <s v="Q1"/>
  </r>
  <r>
    <n v="372"/>
    <x v="371"/>
    <x v="1"/>
    <n v="3983"/>
    <n v="2956"/>
    <n v="3844"/>
    <n v="3009"/>
    <n v="3521"/>
    <n v="0.21003206199999999"/>
    <n v="1.683510472"/>
    <n v="1757"/>
    <n v="3092"/>
    <n v="3"/>
    <n v="1.589914008"/>
    <n v="0.98308068800000004"/>
    <b v="0"/>
    <n v="0.79251839700000004"/>
    <n v="1"/>
    <s v="Jan"/>
    <n v="2026"/>
    <s v="Q1"/>
  </r>
  <r>
    <n v="373"/>
    <x v="372"/>
    <x v="0"/>
    <n v="1186"/>
    <n v="3646"/>
    <n v="3753"/>
    <n v="1136"/>
    <n v="3329"/>
    <n v="0.39122778600000002"/>
    <n v="2.2479931359999998"/>
    <n v="1424"/>
    <n v="1044"/>
    <n v="4"/>
    <n v="1.191016692"/>
    <n v="0.85743468700000003"/>
    <b v="0"/>
    <n v="0.22076860200000001"/>
    <n v="1"/>
    <s v="Jan"/>
    <n v="2026"/>
    <s v="Q1"/>
  </r>
  <r>
    <n v="374"/>
    <x v="373"/>
    <x v="0"/>
    <n v="3855"/>
    <n v="590"/>
    <n v="918"/>
    <n v="4138"/>
    <n v="3009"/>
    <n v="0.71696558399999999"/>
    <n v="2.880561353"/>
    <n v="184"/>
    <n v="231"/>
    <n v="7"/>
    <n v="1.904254973"/>
    <n v="0.87459232200000003"/>
    <b v="0"/>
    <n v="0.76635323"/>
    <n v="1"/>
    <s v="Jan"/>
    <n v="2026"/>
    <s v="Q1"/>
  </r>
  <r>
    <n v="375"/>
    <x v="374"/>
    <x v="2"/>
    <n v="2300"/>
    <n v="899"/>
    <n v="1877"/>
    <n v="1774"/>
    <n v="2724"/>
    <n v="0.37940676299999998"/>
    <n v="1.0491668409999999"/>
    <n v="3354"/>
    <n v="927"/>
    <n v="1"/>
    <n v="1.582682135"/>
    <n v="0.97473558800000004"/>
    <b v="0"/>
    <n v="0.44848732600000002"/>
    <n v="1"/>
    <s v="Jan"/>
    <n v="2026"/>
    <s v="Q1"/>
  </r>
  <r>
    <n v="376"/>
    <x v="375"/>
    <x v="1"/>
    <n v="816"/>
    <n v="852"/>
    <n v="3763"/>
    <n v="1791"/>
    <n v="3523"/>
    <n v="0.53668236800000002"/>
    <n v="0.90765318500000003"/>
    <n v="3363"/>
    <n v="749"/>
    <n v="7"/>
    <n v="1.47379003"/>
    <n v="0.86276472400000004"/>
    <b v="0"/>
    <n v="0.145134914"/>
    <n v="0"/>
    <s v="Jan"/>
    <n v="2026"/>
    <s v="Q1"/>
  </r>
  <r>
    <n v="377"/>
    <x v="376"/>
    <x v="2"/>
    <n v="3905"/>
    <n v="3355"/>
    <n v="2464"/>
    <n v="648"/>
    <n v="3342"/>
    <n v="0.29263867900000001"/>
    <n v="2.9748817820000002"/>
    <n v="1563"/>
    <n v="1122"/>
    <n v="3"/>
    <n v="1.4536158619999999"/>
    <n v="0.87667624099999997"/>
    <b v="0"/>
    <n v="0.77657399800000004"/>
    <n v="1"/>
    <s v="Jan"/>
    <n v="2026"/>
    <s v="Q1"/>
  </r>
  <r>
    <n v="378"/>
    <x v="377"/>
    <x v="0"/>
    <n v="298"/>
    <n v="3212"/>
    <n v="1287"/>
    <n v="2325"/>
    <n v="2977"/>
    <n v="0.610781821"/>
    <n v="1.997927072"/>
    <n v="801"/>
    <n v="3540"/>
    <n v="7"/>
    <n v="1.3329483090000001"/>
    <n v="0.81745925500000005"/>
    <b v="0"/>
    <n v="3.9247750999999997E-2"/>
    <n v="1"/>
    <s v="Jan"/>
    <n v="2026"/>
    <s v="Q1"/>
  </r>
  <r>
    <n v="379"/>
    <x v="378"/>
    <x v="1"/>
    <n v="443"/>
    <n v="3106"/>
    <n v="3134"/>
    <n v="1070"/>
    <n v="143"/>
    <n v="0.73905111199999995"/>
    <n v="1.456527441"/>
    <n v="896"/>
    <n v="2524"/>
    <n v="7"/>
    <n v="0.96668710199999996"/>
    <n v="0.85880216099999995"/>
    <b v="0"/>
    <n v="6.8887980000000001E-2"/>
    <n v="1"/>
    <s v="Jan"/>
    <n v="2026"/>
    <s v="Q1"/>
  </r>
  <r>
    <n v="380"/>
    <x v="379"/>
    <x v="3"/>
    <n v="2984"/>
    <n v="2446"/>
    <n v="3444"/>
    <n v="4685"/>
    <n v="3047"/>
    <n v="0.67124382400000004"/>
    <n v="2.7909317819999999"/>
    <n v="4570"/>
    <n v="2015"/>
    <n v="1"/>
    <n v="0.58340724600000005"/>
    <n v="0.80983296299999996"/>
    <b v="0"/>
    <n v="0.58830744099999999"/>
    <n v="1"/>
    <s v="Jan"/>
    <n v="2026"/>
    <s v="Q1"/>
  </r>
  <r>
    <n v="381"/>
    <x v="380"/>
    <x v="0"/>
    <n v="3961"/>
    <n v="2023"/>
    <n v="1167"/>
    <n v="3820"/>
    <n v="2811"/>
    <n v="0.570869772"/>
    <n v="1.87562531"/>
    <n v="272"/>
    <n v="2998"/>
    <n v="1"/>
    <n v="1.890751327"/>
    <n v="0.983194923"/>
    <b v="0"/>
    <n v="0.78802125899999997"/>
    <n v="1"/>
    <s v="Jan"/>
    <n v="2026"/>
    <s v="Q1"/>
  </r>
  <r>
    <n v="382"/>
    <x v="381"/>
    <x v="1"/>
    <n v="1186"/>
    <n v="616"/>
    <n v="1587"/>
    <n v="1286"/>
    <n v="2125"/>
    <n v="0.46574605499999999"/>
    <n v="2.5785022980000001"/>
    <n v="2854"/>
    <n v="2841"/>
    <n v="6"/>
    <n v="1.734399749"/>
    <n v="0.89539849800000004"/>
    <b v="0"/>
    <n v="0.22076860200000001"/>
    <n v="1"/>
    <s v="Jan"/>
    <n v="2026"/>
    <s v="Q1"/>
  </r>
  <r>
    <n v="383"/>
    <x v="382"/>
    <x v="2"/>
    <n v="4402"/>
    <n v="2930"/>
    <n v="1871"/>
    <n v="4122"/>
    <n v="1015"/>
    <n v="0.77902322099999999"/>
    <n v="2.882234339"/>
    <n v="1928"/>
    <n v="283"/>
    <n v="1"/>
    <n v="1.121007882"/>
    <n v="0.82515458900000005"/>
    <b v="0"/>
    <n v="0.878168438"/>
    <n v="1"/>
    <s v="Jan"/>
    <n v="2026"/>
    <s v="Q1"/>
  </r>
  <r>
    <n v="384"/>
    <x v="383"/>
    <x v="2"/>
    <n v="4870"/>
    <n v="3696"/>
    <n v="3410"/>
    <n v="4871"/>
    <n v="3503"/>
    <n v="0.79813352000000004"/>
    <n v="0.54933992200000004"/>
    <n v="4457"/>
    <n v="761"/>
    <n v="5"/>
    <n v="1.2394975539999999"/>
    <n v="0.95855683999999997"/>
    <b v="0"/>
    <n v="0.97383483199999998"/>
    <n v="1"/>
    <s v="Jan"/>
    <n v="2026"/>
    <s v="Q1"/>
  </r>
  <r>
    <n v="385"/>
    <x v="384"/>
    <x v="3"/>
    <n v="356"/>
    <n v="1237"/>
    <n v="490"/>
    <n v="379"/>
    <n v="303"/>
    <n v="0.59915449899999995"/>
    <n v="2.2394940239999999"/>
    <n v="1345"/>
    <n v="3511"/>
    <n v="4"/>
    <n v="1.207212876"/>
    <n v="0.83403161699999995"/>
    <b v="0"/>
    <n v="5.1103843000000003E-2"/>
    <n v="1"/>
    <s v="Jan"/>
    <n v="2026"/>
    <s v="Q1"/>
  </r>
  <r>
    <n v="386"/>
    <x v="385"/>
    <x v="1"/>
    <n v="3581"/>
    <n v="3112"/>
    <n v="3868"/>
    <n v="1645"/>
    <n v="1730"/>
    <n v="0.215303418"/>
    <n v="0.60549572500000004"/>
    <n v="865"/>
    <n v="2847"/>
    <n v="3"/>
    <n v="1.670155528"/>
    <n v="0.99558174499999996"/>
    <b v="0"/>
    <n v="0.710343418"/>
    <n v="1"/>
    <s v="Jan"/>
    <n v="2026"/>
    <s v="Q1"/>
  </r>
  <r>
    <n v="387"/>
    <x v="386"/>
    <x v="1"/>
    <n v="2888"/>
    <n v="3232"/>
    <n v="439"/>
    <n v="1751"/>
    <n v="1940"/>
    <n v="0.27074241399999999"/>
    <n v="2.5246574329999998"/>
    <n v="3832"/>
    <n v="1271"/>
    <n v="8"/>
    <n v="0.64179947299999995"/>
    <n v="0.82144967300000005"/>
    <b v="0"/>
    <n v="0.56868356499999995"/>
    <n v="1"/>
    <s v="Jan"/>
    <n v="2026"/>
    <s v="Q1"/>
  </r>
  <r>
    <n v="388"/>
    <x v="387"/>
    <x v="1"/>
    <n v="1892"/>
    <n v="4381"/>
    <n v="2039"/>
    <n v="4658"/>
    <n v="1952"/>
    <n v="0.67455588700000002"/>
    <n v="1.087125036"/>
    <n v="2852"/>
    <n v="949"/>
    <n v="3"/>
    <n v="0.90417832399999998"/>
    <n v="0.99901301799999997"/>
    <b v="0"/>
    <n v="0.36508585399999999"/>
    <n v="1"/>
    <s v="Jan"/>
    <n v="2026"/>
    <s v="Q1"/>
  </r>
  <r>
    <n v="389"/>
    <x v="388"/>
    <x v="0"/>
    <n v="4036"/>
    <n v="1080"/>
    <n v="1757"/>
    <n v="1668"/>
    <n v="1930"/>
    <n v="0.68152890099999996"/>
    <n v="0.56119438799999999"/>
    <n v="2813"/>
    <n v="1154"/>
    <n v="8"/>
    <n v="0.58762819600000005"/>
    <n v="0.99594469600000002"/>
    <b v="0"/>
    <n v="0.80335241199999996"/>
    <n v="1"/>
    <s v="Jan"/>
    <n v="2026"/>
    <s v="Q1"/>
  </r>
  <r>
    <n v="390"/>
    <x v="389"/>
    <x v="1"/>
    <n v="3557"/>
    <n v="726"/>
    <n v="1767"/>
    <n v="2491"/>
    <n v="1590"/>
    <n v="0.70969316999999998"/>
    <n v="0.87713417100000002"/>
    <n v="1929"/>
    <n v="659"/>
    <n v="5"/>
    <n v="1.872746893"/>
    <n v="0.97011834600000002"/>
    <b v="0"/>
    <n v="0.70543744900000005"/>
    <n v="1"/>
    <s v="Jan"/>
    <n v="2026"/>
    <s v="Q1"/>
  </r>
  <r>
    <n v="391"/>
    <x v="390"/>
    <x v="1"/>
    <n v="1839"/>
    <n v="1156"/>
    <n v="919"/>
    <n v="845"/>
    <n v="999"/>
    <n v="0.71650036699999997"/>
    <n v="2.696578245"/>
    <n v="3955"/>
    <n v="131"/>
    <n v="1"/>
    <n v="1.4903237570000001"/>
    <n v="0.838749203"/>
    <b v="0"/>
    <n v="0.35425183999999998"/>
    <n v="1"/>
    <s v="Jan"/>
    <n v="2026"/>
    <s v="Q1"/>
  </r>
  <r>
    <n v="392"/>
    <x v="391"/>
    <x v="2"/>
    <n v="4421"/>
    <n v="2639"/>
    <n v="3625"/>
    <n v="565"/>
    <n v="831"/>
    <n v="0.57271070300000004"/>
    <n v="1.433235619"/>
    <n v="2966"/>
    <n v="1739"/>
    <n v="8"/>
    <n v="1.976125291"/>
    <n v="0.845334425"/>
    <b v="0"/>
    <n v="0.88205233000000005"/>
    <n v="1"/>
    <s v="Jan"/>
    <n v="2026"/>
    <s v="Q1"/>
  </r>
  <r>
    <n v="393"/>
    <x v="392"/>
    <x v="0"/>
    <n v="3357"/>
    <n v="678"/>
    <n v="2970"/>
    <n v="2803"/>
    <n v="372"/>
    <n v="0.25702409500000001"/>
    <n v="0.755067021"/>
    <n v="572"/>
    <n v="1006"/>
    <n v="3"/>
    <n v="0.89802464599999998"/>
    <n v="0.87733863000000001"/>
    <b v="0"/>
    <n v="0.66455437399999995"/>
    <n v="1"/>
    <s v="Jan"/>
    <n v="2026"/>
    <s v="Q1"/>
  </r>
  <r>
    <n v="394"/>
    <x v="393"/>
    <x v="0"/>
    <n v="1465"/>
    <n v="2111"/>
    <n v="2179"/>
    <n v="1340"/>
    <n v="3162"/>
    <n v="0.34532193900000002"/>
    <n v="0.85235502699999999"/>
    <n v="818"/>
    <n v="3333"/>
    <n v="6"/>
    <n v="0.80261255799999998"/>
    <n v="0.83767883399999998"/>
    <b v="0"/>
    <n v="0.27780049099999998"/>
    <n v="1"/>
    <s v="Jan"/>
    <n v="2026"/>
    <s v="Q1"/>
  </r>
  <r>
    <n v="395"/>
    <x v="394"/>
    <x v="2"/>
    <n v="4548"/>
    <n v="4215"/>
    <n v="1825"/>
    <n v="1226"/>
    <n v="2761"/>
    <n v="0.26525962600000003"/>
    <n v="2.2364001120000001"/>
    <n v="1743"/>
    <n v="777"/>
    <n v="1"/>
    <n v="1.2164263740000001"/>
    <n v="0.86314889800000005"/>
    <b v="0"/>
    <n v="0.90801308300000005"/>
    <n v="1"/>
    <s v="Jan"/>
    <n v="2026"/>
    <s v="Q1"/>
  </r>
  <r>
    <n v="396"/>
    <x v="395"/>
    <x v="3"/>
    <n v="109"/>
    <n v="1431"/>
    <n v="1999"/>
    <n v="1922"/>
    <n v="2081"/>
    <n v="0.43092644800000002"/>
    <n v="1.425928383"/>
    <n v="767"/>
    <n v="578"/>
    <n v="6"/>
    <n v="1.2617530539999999"/>
    <n v="0.81811682399999996"/>
    <b v="0"/>
    <n v="6.1324600000000002E-4"/>
    <n v="1"/>
    <s v="Jan"/>
    <n v="2026"/>
    <s v="Q1"/>
  </r>
  <r>
    <n v="397"/>
    <x v="396"/>
    <x v="2"/>
    <n v="779"/>
    <n v="2202"/>
    <n v="3990"/>
    <n v="2042"/>
    <n v="1145"/>
    <n v="0.54120640099999995"/>
    <n v="1.332074319"/>
    <n v="2281"/>
    <n v="2234"/>
    <n v="1"/>
    <n v="0.66748729699999998"/>
    <n v="0.99124793600000005"/>
    <b v="0"/>
    <n v="0.13757154499999999"/>
    <n v="1"/>
    <s v="Feb"/>
    <n v="2026"/>
    <s v="Q1"/>
  </r>
  <r>
    <n v="398"/>
    <x v="397"/>
    <x v="0"/>
    <n v="3963"/>
    <n v="2537"/>
    <n v="1289"/>
    <n v="1735"/>
    <n v="162"/>
    <n v="0.40563449299999998"/>
    <n v="1.1020880019999999"/>
    <n v="205"/>
    <n v="2032"/>
    <n v="5"/>
    <n v="1.5842279459999999"/>
    <n v="0.82278555900000006"/>
    <b v="0"/>
    <n v="0.78843008999999997"/>
    <n v="0"/>
    <s v="Feb"/>
    <n v="2026"/>
    <s v="Q1"/>
  </r>
  <r>
    <n v="399"/>
    <x v="398"/>
    <x v="0"/>
    <n v="290"/>
    <n v="2617"/>
    <n v="1543"/>
    <n v="3504"/>
    <n v="3691"/>
    <n v="0.42888508199999997"/>
    <n v="2.1345137300000001"/>
    <n v="625"/>
    <n v="3812"/>
    <n v="4"/>
    <n v="0.85046256099999995"/>
    <n v="0.92024563100000001"/>
    <b v="0"/>
    <n v="3.7612428000000003E-2"/>
    <n v="1"/>
    <s v="Feb"/>
    <n v="2026"/>
    <s v="Q1"/>
  </r>
  <r>
    <n v="400"/>
    <x v="399"/>
    <x v="0"/>
    <n v="1197"/>
    <n v="3675"/>
    <n v="392"/>
    <n v="2502"/>
    <n v="1177"/>
    <n v="0.78844093100000001"/>
    <n v="1.550326085"/>
    <n v="642"/>
    <n v="449"/>
    <n v="2"/>
    <n v="0.666056812"/>
    <n v="0.91078949899999995"/>
    <b v="0"/>
    <n v="0.22301717099999999"/>
    <n v="1"/>
    <s v="Feb"/>
    <n v="2026"/>
    <s v="Q1"/>
  </r>
  <r>
    <n v="401"/>
    <x v="400"/>
    <x v="0"/>
    <n v="211"/>
    <n v="1081"/>
    <n v="1190"/>
    <n v="2412"/>
    <n v="3210"/>
    <n v="0.56936651800000004"/>
    <n v="0.68105180300000001"/>
    <n v="271"/>
    <n v="775"/>
    <n v="9"/>
    <n v="0.61540180200000005"/>
    <n v="0.82113597299999996"/>
    <b v="0"/>
    <n v="2.1463613999999999E-2"/>
    <n v="1"/>
    <s v="Feb"/>
    <n v="2026"/>
    <s v="Q1"/>
  </r>
  <r>
    <n v="402"/>
    <x v="401"/>
    <x v="1"/>
    <n v="401"/>
    <n v="4075"/>
    <n v="2547"/>
    <n v="436"/>
    <n v="2197"/>
    <n v="0.28874361900000001"/>
    <n v="2.3741296489999999"/>
    <n v="1076"/>
    <n v="3586"/>
    <n v="5"/>
    <n v="1.520944981"/>
    <n v="0.81223320899999996"/>
    <b v="0"/>
    <n v="6.0302534999999997E-2"/>
    <n v="1"/>
    <s v="Feb"/>
    <n v="2026"/>
    <s v="Q1"/>
  </r>
  <r>
    <n v="403"/>
    <x v="402"/>
    <x v="0"/>
    <n v="1553"/>
    <n v="3069"/>
    <n v="3231"/>
    <n v="1753"/>
    <n v="2151"/>
    <n v="0.59414311799999997"/>
    <n v="1.940408487"/>
    <n v="4280"/>
    <n v="2703"/>
    <n v="2"/>
    <n v="0.83968754599999995"/>
    <n v="0.89724290399999995"/>
    <b v="0"/>
    <n v="0.29578904299999997"/>
    <n v="1"/>
    <s v="Feb"/>
    <n v="2026"/>
    <s v="Q1"/>
  </r>
  <r>
    <n v="404"/>
    <x v="403"/>
    <x v="2"/>
    <n v="2703"/>
    <n v="2916"/>
    <n v="2523"/>
    <n v="322"/>
    <n v="1545"/>
    <n v="0.37041497499999998"/>
    <n v="2.7834326549999999"/>
    <n v="793"/>
    <n v="3362"/>
    <n v="6"/>
    <n v="1.241202288"/>
    <n v="0.96950677699999999"/>
    <b v="0"/>
    <n v="0.53086672099999999"/>
    <n v="1"/>
    <s v="Feb"/>
    <n v="2026"/>
    <s v="Q1"/>
  </r>
  <r>
    <n v="405"/>
    <x v="404"/>
    <x v="0"/>
    <n v="1456"/>
    <n v="2676"/>
    <n v="3992"/>
    <n v="3524"/>
    <n v="715"/>
    <n v="0.24983984200000001"/>
    <n v="1.798985938"/>
    <n v="1606"/>
    <n v="1664"/>
    <n v="7"/>
    <n v="1.8307347599999999"/>
    <n v="0.84651934200000001"/>
    <b v="0"/>
    <n v="0.27596075199999998"/>
    <n v="1"/>
    <s v="Feb"/>
    <n v="2026"/>
    <s v="Q1"/>
  </r>
  <r>
    <n v="406"/>
    <x v="405"/>
    <x v="3"/>
    <n v="1467"/>
    <n v="2412"/>
    <n v="1454"/>
    <n v="4883"/>
    <n v="890"/>
    <n v="0.40586641699999998"/>
    <n v="2.2881960320000001"/>
    <n v="3172"/>
    <n v="283"/>
    <n v="3"/>
    <n v="1.374768711"/>
    <n v="0.83371110500000001"/>
    <b v="0"/>
    <n v="0.27820932100000001"/>
    <n v="1"/>
    <s v="Feb"/>
    <n v="2026"/>
    <s v="Q1"/>
  </r>
  <r>
    <n v="407"/>
    <x v="406"/>
    <x v="3"/>
    <n v="3086"/>
    <n v="2061"/>
    <n v="326"/>
    <n v="2511"/>
    <n v="1683"/>
    <n v="0.24181652200000001"/>
    <n v="1.0813533369999999"/>
    <n v="1956"/>
    <n v="697"/>
    <n v="7"/>
    <n v="1.517872297"/>
    <n v="0.80451674200000001"/>
    <b v="0"/>
    <n v="0.60915780900000005"/>
    <n v="1"/>
    <s v="Feb"/>
    <n v="2026"/>
    <s v="Q1"/>
  </r>
  <r>
    <n v="408"/>
    <x v="407"/>
    <x v="2"/>
    <n v="3495"/>
    <n v="1326"/>
    <n v="2338"/>
    <n v="3137"/>
    <n v="3473"/>
    <n v="0.42754838899999997"/>
    <n v="1.272882222"/>
    <n v="1420"/>
    <n v="3144"/>
    <n v="3"/>
    <n v="1.1217131060000001"/>
    <n v="0.972650931"/>
    <b v="0"/>
    <n v="0.69276369599999998"/>
    <n v="1"/>
    <s v="Feb"/>
    <n v="2026"/>
    <s v="Q1"/>
  </r>
  <r>
    <n v="409"/>
    <x v="408"/>
    <x v="3"/>
    <n v="4558"/>
    <n v="2263"/>
    <n v="2117"/>
    <n v="3312"/>
    <n v="791"/>
    <n v="0.28100774000000001"/>
    <n v="1.086103405"/>
    <n v="1197"/>
    <n v="3477"/>
    <n v="3"/>
    <n v="1.291032424"/>
    <n v="0.84630570800000005"/>
    <b v="0"/>
    <n v="0.91005723599999999"/>
    <n v="1"/>
    <s v="Feb"/>
    <n v="2026"/>
    <s v="Q1"/>
  </r>
  <r>
    <n v="410"/>
    <x v="409"/>
    <x v="3"/>
    <n v="2899"/>
    <n v="1430"/>
    <n v="2518"/>
    <n v="2733"/>
    <n v="2097"/>
    <n v="0.26574204000000001"/>
    <n v="1.705401862"/>
    <n v="2779"/>
    <n v="1483"/>
    <n v="9"/>
    <n v="0.95645898600000001"/>
    <n v="0.85896076200000004"/>
    <b v="0"/>
    <n v="0.57093213399999998"/>
    <n v="1"/>
    <s v="Feb"/>
    <n v="2026"/>
    <s v="Q1"/>
  </r>
  <r>
    <n v="411"/>
    <x v="410"/>
    <x v="2"/>
    <n v="1953"/>
    <n v="1500"/>
    <n v="732"/>
    <n v="4881"/>
    <n v="910"/>
    <n v="0.59132373999999999"/>
    <n v="1.755183975"/>
    <n v="354"/>
    <n v="1281"/>
    <n v="8"/>
    <n v="0.58496171399999997"/>
    <n v="0.91866225899999998"/>
    <b v="0"/>
    <n v="0.37755519199999998"/>
    <n v="1"/>
    <s v="Feb"/>
    <n v="2026"/>
    <s v="Q1"/>
  </r>
  <r>
    <n v="412"/>
    <x v="411"/>
    <x v="0"/>
    <n v="2805"/>
    <n v="3724"/>
    <n v="974"/>
    <n v="4544"/>
    <n v="2789"/>
    <n v="0.62577413800000004"/>
    <n v="0.55599629900000003"/>
    <n v="1350"/>
    <n v="2864"/>
    <n v="9"/>
    <n v="0.87350054600000004"/>
    <n v="0.81683751000000004"/>
    <b v="0"/>
    <n v="0.55171708900000005"/>
    <n v="1"/>
    <s v="Feb"/>
    <n v="2026"/>
    <s v="Q1"/>
  </r>
  <r>
    <n v="413"/>
    <x v="412"/>
    <x v="0"/>
    <n v="1170"/>
    <n v="3254"/>
    <n v="2726"/>
    <n v="1331"/>
    <n v="2162"/>
    <n v="0.35881993200000001"/>
    <n v="1.089293055"/>
    <n v="2613"/>
    <n v="645"/>
    <n v="4"/>
    <n v="1.9772002980000001"/>
    <n v="0.92696675900000003"/>
    <b v="0"/>
    <n v="0.21749795599999999"/>
    <n v="1"/>
    <s v="Feb"/>
    <n v="2026"/>
    <s v="Q1"/>
  </r>
  <r>
    <n v="414"/>
    <x v="413"/>
    <x v="0"/>
    <n v="2888"/>
    <n v="1807"/>
    <n v="745"/>
    <n v="2092"/>
    <n v="1934"/>
    <n v="0.22601086100000001"/>
    <n v="1.940608433"/>
    <n v="4633"/>
    <n v="3243"/>
    <n v="1"/>
    <n v="1.9617069549999999"/>
    <n v="0.86698409399999998"/>
    <b v="0"/>
    <n v="0.56868356499999995"/>
    <n v="1"/>
    <s v="Feb"/>
    <n v="2026"/>
    <s v="Q1"/>
  </r>
  <r>
    <n v="415"/>
    <x v="414"/>
    <x v="0"/>
    <n v="4959"/>
    <n v="1955"/>
    <n v="2923"/>
    <n v="2106"/>
    <n v="402"/>
    <n v="0.70200452899999999"/>
    <n v="1.9195611850000001"/>
    <n v="2644"/>
    <n v="1845"/>
    <n v="3"/>
    <n v="1.3603669439999999"/>
    <n v="0.84088734399999998"/>
    <b v="0"/>
    <n v="0.99202780000000002"/>
    <n v="1"/>
    <s v="Feb"/>
    <n v="2026"/>
    <s v="Q1"/>
  </r>
  <r>
    <n v="416"/>
    <x v="415"/>
    <x v="3"/>
    <n v="2076"/>
    <n v="4466"/>
    <n v="2125"/>
    <n v="4310"/>
    <n v="3115"/>
    <n v="0.49224023"/>
    <n v="2.557985779"/>
    <n v="2695"/>
    <n v="1598"/>
    <n v="9"/>
    <n v="0.59350283500000001"/>
    <n v="0.80990639099999995"/>
    <b v="0"/>
    <n v="0.40269828299999999"/>
    <n v="1"/>
    <s v="Feb"/>
    <n v="2026"/>
    <s v="Q1"/>
  </r>
  <r>
    <n v="417"/>
    <x v="416"/>
    <x v="3"/>
    <n v="3638"/>
    <n v="765"/>
    <n v="2224"/>
    <n v="1127"/>
    <n v="893"/>
    <n v="0.25295753199999998"/>
    <n v="0.72319672999999995"/>
    <n v="391"/>
    <n v="2168"/>
    <n v="6"/>
    <n v="1.468209946"/>
    <n v="0.92477310000000001"/>
    <b v="0"/>
    <n v="0.72199509399999995"/>
    <n v="1"/>
    <s v="Feb"/>
    <n v="2026"/>
    <s v="Q1"/>
  </r>
  <r>
    <n v="418"/>
    <x v="417"/>
    <x v="0"/>
    <n v="2406"/>
    <n v="1020"/>
    <n v="3759"/>
    <n v="3794"/>
    <n v="3287"/>
    <n v="0.654348394"/>
    <n v="2.293619181"/>
    <n v="2469"/>
    <n v="1769"/>
    <n v="1"/>
    <n v="1.810879468"/>
    <n v="0.90934875500000001"/>
    <b v="0"/>
    <n v="0.47015535600000002"/>
    <n v="1"/>
    <s v="Feb"/>
    <n v="2026"/>
    <s v="Q1"/>
  </r>
  <r>
    <n v="419"/>
    <x v="418"/>
    <x v="0"/>
    <n v="1719"/>
    <n v="1249"/>
    <n v="1405"/>
    <n v="2701"/>
    <n v="2237"/>
    <n v="0.47592445700000002"/>
    <n v="1.8408344299999999"/>
    <n v="3439"/>
    <n v="1452"/>
    <n v="9"/>
    <n v="0.58111705000000002"/>
    <n v="0.83501936200000004"/>
    <b v="0"/>
    <n v="0.32972199499999999"/>
    <n v="1"/>
    <s v="Feb"/>
    <n v="2026"/>
    <s v="Q1"/>
  </r>
  <r>
    <n v="420"/>
    <x v="419"/>
    <x v="1"/>
    <n v="577"/>
    <n v="675"/>
    <n v="3492"/>
    <n v="3907"/>
    <n v="2321"/>
    <n v="0.40340821399999999"/>
    <n v="2.6842744289999998"/>
    <n v="3602"/>
    <n v="1281"/>
    <n v="3"/>
    <n v="0.60543999999999998"/>
    <n v="0.85127186499999996"/>
    <b v="0"/>
    <n v="9.627964E-2"/>
    <n v="1"/>
    <s v="Feb"/>
    <n v="2026"/>
    <s v="Q1"/>
  </r>
  <r>
    <n v="421"/>
    <x v="420"/>
    <x v="1"/>
    <n v="2515"/>
    <n v="2435"/>
    <n v="302"/>
    <n v="2660"/>
    <n v="1069"/>
    <n v="0.59958394299999995"/>
    <n v="1.8486356349999999"/>
    <n v="2684"/>
    <n v="2838"/>
    <n v="2"/>
    <n v="1.583272011"/>
    <n v="0.88994052800000001"/>
    <b v="0"/>
    <n v="0.49243663100000001"/>
    <n v="1"/>
    <s v="Feb"/>
    <n v="2026"/>
    <s v="Q1"/>
  </r>
  <r>
    <n v="422"/>
    <x v="421"/>
    <x v="0"/>
    <n v="2354"/>
    <n v="1421"/>
    <n v="1150"/>
    <n v="744"/>
    <n v="2757"/>
    <n v="0.25975751400000002"/>
    <n v="1.849035427"/>
    <n v="3949"/>
    <n v="807"/>
    <n v="6"/>
    <n v="1.4073925380000001"/>
    <n v="0.88049520000000003"/>
    <b v="0"/>
    <n v="0.45952575600000001"/>
    <n v="1"/>
    <s v="Feb"/>
    <n v="2026"/>
    <s v="Q1"/>
  </r>
  <r>
    <n v="423"/>
    <x v="422"/>
    <x v="3"/>
    <n v="229"/>
    <n v="1394"/>
    <n v="1513"/>
    <n v="4244"/>
    <n v="3438"/>
    <n v="0.29919172500000002"/>
    <n v="2.445840633"/>
    <n v="3364"/>
    <n v="1553"/>
    <n v="6"/>
    <n v="1.254425315"/>
    <n v="0.87792957900000002"/>
    <b v="0"/>
    <n v="2.5143090999999999E-2"/>
    <n v="1"/>
    <s v="Feb"/>
    <n v="2026"/>
    <s v="Q1"/>
  </r>
  <r>
    <n v="424"/>
    <x v="423"/>
    <x v="3"/>
    <n v="1988"/>
    <n v="3854"/>
    <n v="653"/>
    <n v="382"/>
    <n v="2555"/>
    <n v="0.231327913"/>
    <n v="0.872730742"/>
    <n v="1689"/>
    <n v="3400"/>
    <n v="4"/>
    <n v="1.6322956239999999"/>
    <n v="0.96862031000000004"/>
    <b v="0"/>
    <n v="0.38470973000000003"/>
    <n v="1"/>
    <s v="Feb"/>
    <n v="2026"/>
    <s v="Q1"/>
  </r>
  <r>
    <n v="425"/>
    <x v="424"/>
    <x v="2"/>
    <n v="558"/>
    <n v="3967"/>
    <n v="2446"/>
    <n v="2357"/>
    <n v="697"/>
    <n v="0.52743682199999997"/>
    <n v="1.7059296580000001"/>
    <n v="2294"/>
    <n v="1287"/>
    <n v="7"/>
    <n v="1.4743492600000001"/>
    <n v="0.94574996899999997"/>
    <b v="0"/>
    <n v="9.2395748E-2"/>
    <n v="1"/>
    <s v="Mar"/>
    <n v="2026"/>
    <s v="Q1"/>
  </r>
  <r>
    <n v="426"/>
    <x v="425"/>
    <x v="2"/>
    <n v="4252"/>
    <n v="4368"/>
    <n v="3233"/>
    <n v="4521"/>
    <n v="200"/>
    <n v="0.330785934"/>
    <n v="2.0971841850000001"/>
    <n v="944"/>
    <n v="145"/>
    <n v="3"/>
    <n v="0.98447949800000001"/>
    <n v="0.99156144300000004"/>
    <b v="0"/>
    <n v="0.84750613200000002"/>
    <n v="1"/>
    <s v="Mar"/>
    <n v="2026"/>
    <s v="Q1"/>
  </r>
  <r>
    <n v="427"/>
    <x v="426"/>
    <x v="0"/>
    <n v="1144"/>
    <n v="854"/>
    <n v="3181"/>
    <n v="4731"/>
    <n v="1189"/>
    <n v="0.56233865999999999"/>
    <n v="2.7518990479999998"/>
    <n v="1874"/>
    <n v="3045"/>
    <n v="8"/>
    <n v="1.9437384719999999"/>
    <n v="0.85990803000000005"/>
    <b v="0"/>
    <n v="0.21218315600000001"/>
    <n v="1"/>
    <s v="Mar"/>
    <n v="2026"/>
    <s v="Q1"/>
  </r>
  <r>
    <n v="428"/>
    <x v="427"/>
    <x v="2"/>
    <n v="2289"/>
    <n v="1999"/>
    <n v="1571"/>
    <n v="1552"/>
    <n v="3147"/>
    <n v="0.56800253000000001"/>
    <n v="2.7802079129999999"/>
    <n v="1389"/>
    <n v="1232"/>
    <n v="6"/>
    <n v="1.9608194990000001"/>
    <n v="0.81119273700000005"/>
    <b v="0"/>
    <n v="0.44623875699999999"/>
    <n v="1"/>
    <s v="Mar"/>
    <n v="2026"/>
    <s v="Q1"/>
  </r>
  <r>
    <n v="429"/>
    <x v="428"/>
    <x v="1"/>
    <n v="695"/>
    <n v="727"/>
    <n v="3955"/>
    <n v="3888"/>
    <n v="1443"/>
    <n v="0.38883350100000003"/>
    <n v="2.0641175839999999"/>
    <n v="2263"/>
    <n v="2850"/>
    <n v="7"/>
    <n v="0.77578407900000002"/>
    <n v="0.90812580399999998"/>
    <b v="0"/>
    <n v="0.120400654"/>
    <n v="1"/>
    <s v="Mar"/>
    <n v="2026"/>
    <s v="Q1"/>
  </r>
  <r>
    <n v="430"/>
    <x v="429"/>
    <x v="3"/>
    <n v="4631"/>
    <n v="2727"/>
    <n v="3603"/>
    <n v="2323"/>
    <n v="3783"/>
    <n v="0.59286644799999999"/>
    <n v="0.557932129"/>
    <n v="807"/>
    <n v="3138"/>
    <n v="8"/>
    <n v="0.86446743000000004"/>
    <n v="0.85966268499999998"/>
    <b v="0"/>
    <n v="0.92497955799999998"/>
    <n v="1"/>
    <s v="Mar"/>
    <n v="2026"/>
    <s v="Q1"/>
  </r>
  <r>
    <n v="431"/>
    <x v="430"/>
    <x v="1"/>
    <n v="299"/>
    <n v="2131"/>
    <n v="3865"/>
    <n v="3488"/>
    <n v="2245"/>
    <n v="0.27498830899999999"/>
    <n v="2.0872375060000001"/>
    <n v="1052"/>
    <n v="3849"/>
    <n v="1"/>
    <n v="1.1366429389999999"/>
    <n v="0.96400975700000002"/>
    <b v="0"/>
    <n v="3.9452167000000003E-2"/>
    <n v="1"/>
    <s v="Mar"/>
    <n v="2026"/>
    <s v="Q1"/>
  </r>
  <r>
    <n v="432"/>
    <x v="431"/>
    <x v="2"/>
    <n v="4854"/>
    <n v="2012"/>
    <n v="1030"/>
    <n v="4507"/>
    <n v="2206"/>
    <n v="0.30393608100000002"/>
    <n v="0.51911231400000002"/>
    <n v="1439"/>
    <n v="2807"/>
    <n v="5"/>
    <n v="0.65284502300000002"/>
    <n v="0.80890187800000002"/>
    <b v="0"/>
    <n v="0.97056418600000005"/>
    <n v="1"/>
    <s v="Mar"/>
    <n v="2026"/>
    <s v="Q1"/>
  </r>
  <r>
    <n v="433"/>
    <x v="432"/>
    <x v="0"/>
    <n v="4772"/>
    <n v="4355"/>
    <n v="2227"/>
    <n v="2747"/>
    <n v="2616"/>
    <n v="0.28041277100000001"/>
    <n v="2.4251582420000002"/>
    <n v="3453"/>
    <n v="1487"/>
    <n v="8"/>
    <n v="1.026165105"/>
    <n v="0.94527113900000004"/>
    <b v="0"/>
    <n v="0.95380212600000003"/>
    <n v="1"/>
    <s v="Mar"/>
    <n v="2026"/>
    <s v="Q1"/>
  </r>
  <r>
    <n v="434"/>
    <x v="433"/>
    <x v="1"/>
    <n v="1359"/>
    <n v="1185"/>
    <n v="428"/>
    <n v="3029"/>
    <n v="1895"/>
    <n v="0.42387200200000003"/>
    <n v="2.7035063460000002"/>
    <n v="2712"/>
    <n v="2939"/>
    <n v="7"/>
    <n v="1.631318158"/>
    <n v="0.81240042199999996"/>
    <b v="0"/>
    <n v="0.25613246099999998"/>
    <n v="1"/>
    <s v="Mar"/>
    <n v="2026"/>
    <s v="Q1"/>
  </r>
  <r>
    <n v="435"/>
    <x v="434"/>
    <x v="1"/>
    <n v="1290"/>
    <n v="1930"/>
    <n v="3491"/>
    <n v="552"/>
    <n v="1467"/>
    <n v="0.20810809799999999"/>
    <n v="1.104331787"/>
    <n v="4837"/>
    <n v="1041"/>
    <n v="8"/>
    <n v="1.26561781"/>
    <n v="0.97528906599999998"/>
    <b v="0"/>
    <n v="0.24202779999999999"/>
    <n v="1"/>
    <s v="Mar"/>
    <n v="2026"/>
    <s v="Q1"/>
  </r>
  <r>
    <n v="436"/>
    <x v="435"/>
    <x v="3"/>
    <n v="591"/>
    <n v="1765"/>
    <n v="3123"/>
    <n v="2760"/>
    <n v="610"/>
    <n v="0.65635979899999997"/>
    <n v="1.5083356990000001"/>
    <n v="2461"/>
    <n v="2810"/>
    <n v="8"/>
    <n v="0.63379742299999997"/>
    <n v="0.95628784300000003"/>
    <b v="0"/>
    <n v="9.9141455000000003E-2"/>
    <n v="1"/>
    <s v="Mar"/>
    <n v="2026"/>
    <s v="Q1"/>
  </r>
  <r>
    <n v="437"/>
    <x v="436"/>
    <x v="3"/>
    <n v="4509"/>
    <n v="2712"/>
    <n v="2461"/>
    <n v="1448"/>
    <n v="1127"/>
    <n v="0.34021145400000002"/>
    <n v="2.9185747289999999"/>
    <n v="1101"/>
    <n v="1008"/>
    <n v="5"/>
    <n v="1.5262412759999999"/>
    <n v="0.95494447500000001"/>
    <b v="0"/>
    <n v="0.90004088299999996"/>
    <n v="1"/>
    <s v="Mar"/>
    <n v="2026"/>
    <s v="Q1"/>
  </r>
  <r>
    <n v="438"/>
    <x v="437"/>
    <x v="0"/>
    <n v="3844"/>
    <n v="3189"/>
    <n v="833"/>
    <n v="2359"/>
    <n v="3073"/>
    <n v="0.48017076199999997"/>
    <n v="1.4563841500000001"/>
    <n v="122"/>
    <n v="1068"/>
    <n v="1"/>
    <n v="1.766136248"/>
    <n v="0.96608569600000005"/>
    <b v="1"/>
    <n v="0.76410466099999996"/>
    <n v="1"/>
    <s v="Mar"/>
    <n v="2026"/>
    <s v="Q1"/>
  </r>
  <r>
    <n v="439"/>
    <x v="438"/>
    <x v="2"/>
    <n v="2096"/>
    <n v="2478"/>
    <n v="624"/>
    <n v="4959"/>
    <n v="2714"/>
    <n v="0.35573063399999999"/>
    <n v="0.75094011000000005"/>
    <n v="158"/>
    <n v="2456"/>
    <n v="1"/>
    <n v="0.96247611600000005"/>
    <n v="0.94729684300000006"/>
    <b v="0"/>
    <n v="0.40678659"/>
    <n v="1"/>
    <s v="Mar"/>
    <n v="2026"/>
    <s v="Q1"/>
  </r>
  <r>
    <n v="440"/>
    <x v="439"/>
    <x v="0"/>
    <n v="2992"/>
    <n v="1656"/>
    <n v="2865"/>
    <n v="481"/>
    <n v="1392"/>
    <n v="0.54234185899999998"/>
    <n v="1.4392570179999999"/>
    <n v="4871"/>
    <n v="2195"/>
    <n v="9"/>
    <n v="0.81255603499999995"/>
    <n v="0.82859606799999996"/>
    <b v="0"/>
    <n v="0.58994276400000001"/>
    <n v="1"/>
    <s v="Mar"/>
    <n v="2026"/>
    <s v="Q1"/>
  </r>
  <r>
    <n v="441"/>
    <x v="440"/>
    <x v="0"/>
    <n v="726"/>
    <n v="3402"/>
    <n v="2845"/>
    <n v="896"/>
    <n v="614"/>
    <n v="0.575781981"/>
    <n v="1.9888946839999999"/>
    <n v="892"/>
    <n v="3129"/>
    <n v="7"/>
    <n v="1.8626685999999999"/>
    <n v="0.80951653300000004"/>
    <b v="0"/>
    <n v="0.12673753099999999"/>
    <n v="1"/>
    <s v="Mar"/>
    <n v="2026"/>
    <s v="Q1"/>
  </r>
  <r>
    <n v="442"/>
    <x v="441"/>
    <x v="1"/>
    <n v="4985"/>
    <n v="3412"/>
    <n v="942"/>
    <n v="3096"/>
    <n v="922"/>
    <n v="0.63244604299999996"/>
    <n v="1.9395944249999999"/>
    <n v="3283"/>
    <n v="2217"/>
    <n v="5"/>
    <n v="0.64997914499999998"/>
    <n v="0.92701277900000001"/>
    <b v="0"/>
    <n v="0.99734259999999997"/>
    <n v="1"/>
    <s v="Mar"/>
    <n v="2026"/>
    <s v="Q1"/>
  </r>
  <r>
    <n v="443"/>
    <x v="442"/>
    <x v="2"/>
    <n v="957"/>
    <n v="855"/>
    <n v="2030"/>
    <n v="1255"/>
    <n v="568"/>
    <n v="0.48999324"/>
    <n v="2.1733335380000001"/>
    <n v="2934"/>
    <n v="2983"/>
    <n v="3"/>
    <n v="1.768351607"/>
    <n v="0.96676035199999999"/>
    <b v="0"/>
    <n v="0.173957482"/>
    <n v="1"/>
    <s v="Mar"/>
    <n v="2026"/>
    <s v="Q1"/>
  </r>
  <r>
    <n v="444"/>
    <x v="443"/>
    <x v="3"/>
    <n v="3585"/>
    <n v="2912"/>
    <n v="2672"/>
    <n v="3555"/>
    <n v="1561"/>
    <n v="0.76445044799999995"/>
    <n v="2.28382576"/>
    <n v="3683"/>
    <n v="1487"/>
    <n v="2"/>
    <n v="0.83839083700000006"/>
    <n v="0.95207019699999995"/>
    <b v="0"/>
    <n v="0.71116107900000003"/>
    <n v="1"/>
    <s v="Mar"/>
    <n v="2026"/>
    <s v="Q1"/>
  </r>
  <r>
    <n v="445"/>
    <x v="444"/>
    <x v="3"/>
    <n v="3433"/>
    <n v="975"/>
    <n v="873"/>
    <n v="2734"/>
    <n v="3668"/>
    <n v="0.62652095900000004"/>
    <n v="2.99622688"/>
    <n v="4433"/>
    <n v="714"/>
    <n v="2"/>
    <n v="0.886692178"/>
    <n v="0.80141460900000006"/>
    <b v="0"/>
    <n v="0.68008994300000003"/>
    <n v="1"/>
    <s v="Mar"/>
    <n v="2026"/>
    <s v="Q1"/>
  </r>
  <r>
    <n v="446"/>
    <x v="445"/>
    <x v="2"/>
    <n v="4632"/>
    <n v="806"/>
    <n v="3589"/>
    <n v="4471"/>
    <n v="287"/>
    <n v="0.53547911500000001"/>
    <n v="1.367031613"/>
    <n v="181"/>
    <n v="3945"/>
    <n v="4"/>
    <n v="0.57559043399999998"/>
    <n v="0.89540305499999995"/>
    <b v="0"/>
    <n v="0.92518397399999996"/>
    <n v="1"/>
    <s v="Mar"/>
    <n v="2026"/>
    <s v="Q1"/>
  </r>
  <r>
    <n v="447"/>
    <x v="446"/>
    <x v="2"/>
    <n v="1288"/>
    <n v="751"/>
    <n v="2001"/>
    <n v="397"/>
    <n v="2940"/>
    <n v="0.50074647999999999"/>
    <n v="2.1924630139999999"/>
    <n v="1037"/>
    <n v="3775"/>
    <n v="1"/>
    <n v="1.74839777"/>
    <n v="0.96034829300000002"/>
    <b v="0"/>
    <n v="0.24161896999999999"/>
    <n v="1"/>
    <s v="Mar"/>
    <n v="2026"/>
    <s v="Q1"/>
  </r>
  <r>
    <n v="448"/>
    <x v="447"/>
    <x v="3"/>
    <n v="1204"/>
    <n v="2974"/>
    <n v="464"/>
    <n v="419"/>
    <n v="3256"/>
    <n v="0.230286037"/>
    <n v="1.3691419330000001"/>
    <n v="1356"/>
    <n v="3352"/>
    <n v="8"/>
    <n v="1.4403224059999999"/>
    <n v="0.81251548299999998"/>
    <b v="0"/>
    <n v="0.224448078"/>
    <n v="1"/>
    <s v="Mar"/>
    <n v="2026"/>
    <s v="Q1"/>
  </r>
  <r>
    <n v="449"/>
    <x v="448"/>
    <x v="2"/>
    <n v="4720"/>
    <n v="2591"/>
    <n v="3780"/>
    <n v="4194"/>
    <n v="2072"/>
    <n v="0.487333026"/>
    <n v="1.7218222599999999"/>
    <n v="2819"/>
    <n v="3976"/>
    <n v="7"/>
    <n v="0.60284921899999999"/>
    <n v="0.88396229900000001"/>
    <b v="0"/>
    <n v="0.94317252699999998"/>
    <n v="1"/>
    <s v="Mar"/>
    <n v="2026"/>
    <s v="Q1"/>
  </r>
  <r>
    <n v="450"/>
    <x v="449"/>
    <x v="3"/>
    <n v="3990"/>
    <n v="3734"/>
    <n v="3919"/>
    <n v="4610"/>
    <n v="1752"/>
    <n v="0.27190742099999998"/>
    <n v="2.4416366809999999"/>
    <n v="2569"/>
    <n v="2326"/>
    <n v="4"/>
    <n v="1.5847260480000001"/>
    <n v="0.86006701399999996"/>
    <b v="0"/>
    <n v="0.79394930500000005"/>
    <n v="1"/>
    <s v="Mar"/>
    <n v="2026"/>
    <s v="Q1"/>
  </r>
  <r>
    <n v="451"/>
    <x v="450"/>
    <x v="2"/>
    <n v="1288"/>
    <n v="862"/>
    <n v="1165"/>
    <n v="4739"/>
    <n v="3857"/>
    <n v="0.34809031499999998"/>
    <n v="0.65465496400000001"/>
    <n v="4585"/>
    <n v="1357"/>
    <n v="8"/>
    <n v="1.157757317"/>
    <n v="0.87055639699999998"/>
    <b v="0"/>
    <n v="0.24161896999999999"/>
    <n v="1"/>
    <s v="Mar"/>
    <n v="2026"/>
    <s v="Q1"/>
  </r>
  <r>
    <n v="452"/>
    <x v="451"/>
    <x v="2"/>
    <n v="2665"/>
    <n v="4111"/>
    <n v="2395"/>
    <n v="1507"/>
    <n v="3589"/>
    <n v="0.28853878500000002"/>
    <n v="2.7659423849999998"/>
    <n v="3382"/>
    <n v="121"/>
    <n v="1"/>
    <n v="0.82844975200000004"/>
    <n v="0.913311031"/>
    <b v="0"/>
    <n v="0.52309893699999999"/>
    <n v="1"/>
    <s v="Mar"/>
    <n v="2026"/>
    <s v="Q1"/>
  </r>
  <r>
    <n v="453"/>
    <x v="452"/>
    <x v="1"/>
    <n v="2422"/>
    <n v="4319"/>
    <n v="699"/>
    <n v="2643"/>
    <n v="2203"/>
    <n v="0.38615463"/>
    <n v="1.904936486"/>
    <n v="2139"/>
    <n v="1706"/>
    <n v="8"/>
    <n v="0.87561173199999998"/>
    <n v="0.941729814"/>
    <b v="0"/>
    <n v="0.47342600200000001"/>
    <n v="1"/>
    <s v="Mar"/>
    <n v="2026"/>
    <s v="Q1"/>
  </r>
  <r>
    <n v="454"/>
    <x v="453"/>
    <x v="0"/>
    <n v="498"/>
    <n v="1485"/>
    <n v="3827"/>
    <n v="1315"/>
    <n v="878"/>
    <n v="0.76016012399999999"/>
    <n v="1.004417889"/>
    <n v="4388"/>
    <n v="2598"/>
    <n v="9"/>
    <n v="1.35445689"/>
    <n v="0.99722574600000002"/>
    <b v="0"/>
    <n v="8.0130826000000002E-2"/>
    <n v="1"/>
    <s v="Mar"/>
    <n v="2026"/>
    <s v="Q1"/>
  </r>
  <r>
    <n v="455"/>
    <x v="454"/>
    <x v="1"/>
    <n v="1955"/>
    <n v="861"/>
    <n v="335"/>
    <n v="1726"/>
    <n v="2055"/>
    <n v="0.73652691800000003"/>
    <n v="0.83426631500000004"/>
    <n v="4605"/>
    <n v="2670"/>
    <n v="1"/>
    <n v="0.80865445700000005"/>
    <n v="0.88315338200000004"/>
    <b v="0"/>
    <n v="0.37796402299999998"/>
    <n v="1"/>
    <s v="Mar"/>
    <n v="2026"/>
    <s v="Q1"/>
  </r>
  <r>
    <n v="456"/>
    <x v="455"/>
    <x v="2"/>
    <n v="2676"/>
    <n v="4167"/>
    <n v="1263"/>
    <n v="3574"/>
    <n v="721"/>
    <n v="0.35178032300000001"/>
    <n v="0.62765023799999997"/>
    <n v="475"/>
    <n v="372"/>
    <n v="3"/>
    <n v="1.976470186"/>
    <n v="0.82556719199999995"/>
    <b v="0"/>
    <n v="0.52534750600000002"/>
    <n v="1"/>
    <s v="Apr"/>
    <n v="2026"/>
    <s v="Q2"/>
  </r>
  <r>
    <n v="457"/>
    <x v="456"/>
    <x v="1"/>
    <n v="4206"/>
    <n v="3025"/>
    <n v="1566"/>
    <n v="1803"/>
    <n v="2700"/>
    <n v="0.30474214999999999"/>
    <n v="2.0991944120000001"/>
    <n v="1665"/>
    <n v="2951"/>
    <n v="7"/>
    <n v="0.96778504499999995"/>
    <n v="0.86288292700000002"/>
    <b v="0"/>
    <n v="0.838103025"/>
    <n v="1"/>
    <s v="Apr"/>
    <n v="2026"/>
    <s v="Q2"/>
  </r>
  <r>
    <n v="458"/>
    <x v="457"/>
    <x v="3"/>
    <n v="4711"/>
    <n v="655"/>
    <n v="2638"/>
    <n v="988"/>
    <n v="956"/>
    <n v="0.66984320799999997"/>
    <n v="1.350555892"/>
    <n v="2248"/>
    <n v="2683"/>
    <n v="9"/>
    <n v="1.676756157"/>
    <n v="0.91474416400000003"/>
    <b v="0"/>
    <n v="0.94133278799999998"/>
    <n v="1"/>
    <s v="Apr"/>
    <n v="2026"/>
    <s v="Q2"/>
  </r>
  <r>
    <n v="459"/>
    <x v="458"/>
    <x v="1"/>
    <n v="3581"/>
    <n v="4194"/>
    <n v="336"/>
    <n v="1231"/>
    <n v="2870"/>
    <n v="0.40016108900000003"/>
    <n v="2.5767576320000001"/>
    <n v="3681"/>
    <n v="2923"/>
    <n v="3"/>
    <n v="1.526078321"/>
    <n v="0.91004444500000004"/>
    <b v="0"/>
    <n v="0.710343418"/>
    <n v="1"/>
    <s v="Apr"/>
    <n v="2026"/>
    <s v="Q2"/>
  </r>
  <r>
    <n v="460"/>
    <x v="459"/>
    <x v="1"/>
    <n v="4991"/>
    <n v="667"/>
    <n v="2419"/>
    <n v="817"/>
    <n v="203"/>
    <n v="0.68880639499999996"/>
    <n v="2.1345362080000001"/>
    <n v="3284"/>
    <n v="3429"/>
    <n v="7"/>
    <n v="1.4135800460000001"/>
    <n v="0.99983723800000002"/>
    <b v="0"/>
    <n v="0.99856909199999999"/>
    <n v="1"/>
    <s v="Apr"/>
    <n v="2026"/>
    <s v="Q2"/>
  </r>
  <r>
    <n v="461"/>
    <x v="460"/>
    <x v="0"/>
    <n v="1157"/>
    <n v="2523"/>
    <n v="2482"/>
    <n v="2164"/>
    <n v="2804"/>
    <n v="0.41956877399999998"/>
    <n v="1.2362728199999999"/>
    <n v="2371"/>
    <n v="3995"/>
    <n v="2"/>
    <n v="1.772415912"/>
    <n v="0.81582859900000004"/>
    <b v="0"/>
    <n v="0.21484055599999999"/>
    <n v="1"/>
    <s v="Apr"/>
    <n v="2026"/>
    <s v="Q2"/>
  </r>
  <r>
    <n v="462"/>
    <x v="461"/>
    <x v="0"/>
    <n v="3682"/>
    <n v="957"/>
    <n v="1179"/>
    <n v="2913"/>
    <n v="2151"/>
    <n v="0.45988324800000002"/>
    <n v="2.549145851"/>
    <n v="982"/>
    <n v="1836"/>
    <n v="3"/>
    <n v="1.718943748"/>
    <n v="0.97716067100000004"/>
    <b v="0"/>
    <n v="0.73098936999999997"/>
    <n v="1"/>
    <s v="Apr"/>
    <n v="2026"/>
    <s v="Q2"/>
  </r>
  <r>
    <n v="463"/>
    <x v="462"/>
    <x v="0"/>
    <n v="1118"/>
    <n v="4136"/>
    <n v="2072"/>
    <n v="2346"/>
    <n v="2714"/>
    <n v="0.35989773000000003"/>
    <n v="1.715257611"/>
    <n v="4537"/>
    <n v="843"/>
    <n v="8"/>
    <n v="1.511743512"/>
    <n v="0.92072596799999995"/>
    <b v="0"/>
    <n v="0.206868357"/>
    <n v="1"/>
    <s v="Apr"/>
    <n v="2026"/>
    <s v="Q2"/>
  </r>
  <r>
    <n v="464"/>
    <x v="463"/>
    <x v="2"/>
    <n v="3248"/>
    <n v="2767"/>
    <n v="1141"/>
    <n v="4209"/>
    <n v="3673"/>
    <n v="0.61344140300000005"/>
    <n v="1.123961598"/>
    <n v="2326"/>
    <n v="1736"/>
    <n v="7"/>
    <n v="1.3175312429999999"/>
    <n v="0.95144328099999997"/>
    <b v="0"/>
    <n v="0.64227309899999996"/>
    <n v="1"/>
    <s v="Apr"/>
    <n v="2026"/>
    <s v="Q2"/>
  </r>
  <r>
    <n v="465"/>
    <x v="464"/>
    <x v="1"/>
    <n v="4561"/>
    <n v="3902"/>
    <n v="2003"/>
    <n v="1317"/>
    <n v="1247"/>
    <n v="0.56561886900000002"/>
    <n v="1.8624355889999999"/>
    <n v="1336"/>
    <n v="1572"/>
    <n v="2"/>
    <n v="1.6624182270000001"/>
    <n v="0.970792408"/>
    <b v="0"/>
    <n v="0.910670482"/>
    <n v="1"/>
    <s v="Apr"/>
    <n v="2026"/>
    <s v="Q2"/>
  </r>
  <r>
    <n v="466"/>
    <x v="465"/>
    <x v="3"/>
    <n v="563"/>
    <n v="717"/>
    <n v="1476"/>
    <n v="352"/>
    <n v="3445"/>
    <n v="0.73224304100000004"/>
    <n v="0.59767239999999999"/>
    <n v="3624"/>
    <n v="1435"/>
    <n v="6"/>
    <n v="1.7572324180000001"/>
    <n v="0.83509353600000003"/>
    <b v="0"/>
    <n v="9.3417824999999996E-2"/>
    <n v="1"/>
    <s v="Apr"/>
    <n v="2026"/>
    <s v="Q2"/>
  </r>
  <r>
    <n v="467"/>
    <x v="466"/>
    <x v="3"/>
    <n v="1034"/>
    <n v="4298"/>
    <n v="1966"/>
    <n v="4927"/>
    <n v="1278"/>
    <n v="0.53369166599999995"/>
    <n v="1.5925102769999999"/>
    <n v="2301"/>
    <n v="3397"/>
    <n v="7"/>
    <n v="1.962305486"/>
    <n v="0.84713324899999998"/>
    <b v="0"/>
    <n v="0.18969746500000001"/>
    <n v="1"/>
    <s v="Apr"/>
    <n v="2026"/>
    <s v="Q2"/>
  </r>
  <r>
    <n v="468"/>
    <x v="467"/>
    <x v="1"/>
    <n v="3170"/>
    <n v="3845"/>
    <n v="203"/>
    <n v="1380"/>
    <n v="186"/>
    <n v="0.49529949899999998"/>
    <n v="1.5261753659999999"/>
    <n v="4365"/>
    <n v="2113"/>
    <n v="7"/>
    <n v="1.1263983849999999"/>
    <n v="0.92101777399999996"/>
    <b v="0"/>
    <n v="0.62632869999999996"/>
    <n v="1"/>
    <s v="Apr"/>
    <n v="2026"/>
    <s v="Q2"/>
  </r>
  <r>
    <n v="469"/>
    <x v="468"/>
    <x v="2"/>
    <n v="3179"/>
    <n v="2533"/>
    <n v="3619"/>
    <n v="2886"/>
    <n v="2275"/>
    <n v="0.42762361900000001"/>
    <n v="0.87110489499999999"/>
    <n v="870"/>
    <n v="2077"/>
    <n v="6"/>
    <n v="1.1670909709999999"/>
    <n v="0.81859428099999998"/>
    <b v="0"/>
    <n v="0.628168438"/>
    <n v="1"/>
    <s v="Apr"/>
    <n v="2026"/>
    <s v="Q2"/>
  </r>
  <r>
    <n v="470"/>
    <x v="469"/>
    <x v="3"/>
    <n v="3619"/>
    <n v="2362"/>
    <n v="910"/>
    <n v="3878"/>
    <n v="597"/>
    <n v="0.258896556"/>
    <n v="1.8716861010000001"/>
    <n v="216"/>
    <n v="3232"/>
    <n v="5"/>
    <n v="1.6906547540000001"/>
    <n v="0.81004776999999994"/>
    <b v="0"/>
    <n v="0.718111202"/>
    <n v="1"/>
    <s v="Apr"/>
    <n v="2026"/>
    <s v="Q2"/>
  </r>
  <r>
    <n v="471"/>
    <x v="470"/>
    <x v="3"/>
    <n v="3845"/>
    <n v="2784"/>
    <n v="372"/>
    <n v="1952"/>
    <n v="2075"/>
    <n v="0.43062193599999998"/>
    <n v="1.3570358870000001"/>
    <n v="4370"/>
    <n v="206"/>
    <n v="7"/>
    <n v="1.1772564640000001"/>
    <n v="0.918316731"/>
    <b v="0"/>
    <n v="0.76430907599999998"/>
    <n v="1"/>
    <s v="Apr"/>
    <n v="2026"/>
    <s v="Q2"/>
  </r>
  <r>
    <n v="472"/>
    <x v="471"/>
    <x v="1"/>
    <n v="4821"/>
    <n v="2861"/>
    <n v="894"/>
    <n v="1854"/>
    <n v="619"/>
    <n v="0.370071975"/>
    <n v="2.5900977549999999"/>
    <n v="3285"/>
    <n v="3684"/>
    <n v="9"/>
    <n v="1.996407984"/>
    <n v="0.97989776699999998"/>
    <b v="0"/>
    <n v="0.96381847899999995"/>
    <n v="1"/>
    <s v="Apr"/>
    <n v="2026"/>
    <s v="Q2"/>
  </r>
  <r>
    <n v="473"/>
    <x v="472"/>
    <x v="0"/>
    <n v="4269"/>
    <n v="2969"/>
    <n v="3648"/>
    <n v="4042"/>
    <n v="2971"/>
    <n v="0.323278385"/>
    <n v="1.3820617909999999"/>
    <n v="4311"/>
    <n v="3253"/>
    <n v="9"/>
    <n v="0.53927435700000004"/>
    <n v="0.91776355099999996"/>
    <b v="0"/>
    <n v="0.85098119400000005"/>
    <n v="1"/>
    <s v="Apr"/>
    <n v="2026"/>
    <s v="Q2"/>
  </r>
  <r>
    <n v="474"/>
    <x v="473"/>
    <x v="3"/>
    <n v="137"/>
    <n v="661"/>
    <n v="1184"/>
    <n v="4090"/>
    <n v="3186"/>
    <n v="0.41720950099999998"/>
    <n v="1.8934853469999999"/>
    <n v="1753"/>
    <n v="313"/>
    <n v="5"/>
    <n v="1.8229364509999999"/>
    <n v="0.89929475999999997"/>
    <b v="0"/>
    <n v="6.3368770000000003E-3"/>
    <n v="1"/>
    <s v="Apr"/>
    <n v="2026"/>
    <s v="Q2"/>
  </r>
  <r>
    <n v="475"/>
    <x v="474"/>
    <x v="0"/>
    <n v="3689"/>
    <n v="3458"/>
    <n v="3506"/>
    <n v="2666"/>
    <n v="1000"/>
    <n v="0.51389458499999996"/>
    <n v="2.9347224879999998"/>
    <n v="4314"/>
    <n v="1419"/>
    <n v="3"/>
    <n v="1.5112039530000001"/>
    <n v="0.91489289100000004"/>
    <b v="0"/>
    <n v="0.73242027799999998"/>
    <n v="1"/>
    <s v="Apr"/>
    <n v="2026"/>
    <s v="Q2"/>
  </r>
  <r>
    <n v="476"/>
    <x v="475"/>
    <x v="3"/>
    <n v="3762"/>
    <n v="1919"/>
    <n v="1420"/>
    <n v="4843"/>
    <n v="2460"/>
    <n v="0.218562225"/>
    <n v="1.2935352739999999"/>
    <n v="1049"/>
    <n v="3097"/>
    <n v="8"/>
    <n v="1.495178245"/>
    <n v="0.83999819799999997"/>
    <b v="0"/>
    <n v="0.74734259999999997"/>
    <n v="1"/>
    <s v="Apr"/>
    <n v="2026"/>
    <s v="Q2"/>
  </r>
  <r>
    <n v="477"/>
    <x v="476"/>
    <x v="1"/>
    <n v="1850"/>
    <n v="4066"/>
    <n v="1996"/>
    <n v="3598"/>
    <n v="3328"/>
    <n v="0.74894386999999996"/>
    <n v="2.9085210799999999"/>
    <n v="1702"/>
    <n v="2219"/>
    <n v="4"/>
    <n v="0.81749901599999997"/>
    <n v="0.807721048"/>
    <b v="0"/>
    <n v="0.35650040900000002"/>
    <n v="1"/>
    <s v="Apr"/>
    <n v="2026"/>
    <s v="Q2"/>
  </r>
  <r>
    <n v="478"/>
    <x v="477"/>
    <x v="2"/>
    <n v="2211"/>
    <n v="1091"/>
    <n v="1519"/>
    <n v="381"/>
    <n v="2469"/>
    <n v="0.459480797"/>
    <n v="1.8564061439999999"/>
    <n v="809"/>
    <n v="1444"/>
    <n v="8"/>
    <n v="1.4391339030000001"/>
    <n v="0.946452556"/>
    <b v="0"/>
    <n v="0.43029435799999999"/>
    <n v="1"/>
    <s v="Apr"/>
    <n v="2026"/>
    <s v="Q2"/>
  </r>
  <r>
    <n v="479"/>
    <x v="478"/>
    <x v="0"/>
    <n v="472"/>
    <n v="3061"/>
    <n v="3319"/>
    <n v="3287"/>
    <n v="3011"/>
    <n v="0.33731124499999998"/>
    <n v="2.9952252220000002"/>
    <n v="3284"/>
    <n v="3207"/>
    <n v="7"/>
    <n v="1.821272668"/>
    <n v="0.83314465800000004"/>
    <b v="0"/>
    <n v="7.4816025999999994E-2"/>
    <n v="1"/>
    <s v="Apr"/>
    <n v="2026"/>
    <s v="Q2"/>
  </r>
  <r>
    <n v="480"/>
    <x v="479"/>
    <x v="0"/>
    <n v="2686"/>
    <n v="2288"/>
    <n v="1959"/>
    <n v="1600"/>
    <n v="1988"/>
    <n v="0.47261806099999998"/>
    <n v="0.99388620599999999"/>
    <n v="4535"/>
    <n v="159"/>
    <n v="5"/>
    <n v="0.63428799700000005"/>
    <n v="0.987399527"/>
    <b v="0"/>
    <n v="0.52739166000000004"/>
    <n v="1"/>
    <s v="Apr"/>
    <n v="2026"/>
    <s v="Q2"/>
  </r>
  <r>
    <n v="481"/>
    <x v="480"/>
    <x v="0"/>
    <n v="3123"/>
    <n v="2766"/>
    <n v="3698"/>
    <n v="2717"/>
    <n v="1543"/>
    <n v="0.32917980800000002"/>
    <n v="1.3014935009999999"/>
    <n v="861"/>
    <n v="1381"/>
    <n v="1"/>
    <n v="0.54420857300000003"/>
    <n v="0.97145520500000004"/>
    <b v="0"/>
    <n v="0.61672117699999995"/>
    <n v="1"/>
    <s v="Apr"/>
    <n v="2026"/>
    <s v="Q2"/>
  </r>
  <r>
    <n v="482"/>
    <x v="481"/>
    <x v="1"/>
    <n v="3365"/>
    <n v="1723"/>
    <n v="399"/>
    <n v="4707"/>
    <n v="1723"/>
    <n v="0.274200422"/>
    <n v="1.1141377349999999"/>
    <n v="3280"/>
    <n v="2855"/>
    <n v="8"/>
    <n v="0.96831776700000005"/>
    <n v="0.98265217999999999"/>
    <b v="0"/>
    <n v="0.66618969699999997"/>
    <n v="1"/>
    <s v="Apr"/>
    <n v="2026"/>
    <s v="Q2"/>
  </r>
  <r>
    <n v="483"/>
    <x v="482"/>
    <x v="3"/>
    <n v="1934"/>
    <n v="3531"/>
    <n v="2579"/>
    <n v="1238"/>
    <n v="3285"/>
    <n v="0.24945817000000001"/>
    <n v="2.5710262990000001"/>
    <n v="2790"/>
    <n v="1070"/>
    <n v="7"/>
    <n v="0.703672725"/>
    <n v="0.94065746800000005"/>
    <b v="0"/>
    <n v="0.37367129999999998"/>
    <n v="1"/>
    <s v="Apr"/>
    <n v="2026"/>
    <s v="Q2"/>
  </r>
  <r>
    <n v="484"/>
    <x v="483"/>
    <x v="1"/>
    <n v="4413"/>
    <n v="4479"/>
    <n v="1529"/>
    <n v="4014"/>
    <n v="2941"/>
    <n v="0.526027193"/>
    <n v="2.0060065859999998"/>
    <n v="671"/>
    <n v="3577"/>
    <n v="1"/>
    <n v="1.8614505370000001"/>
    <n v="0.85033977999999999"/>
    <b v="0"/>
    <n v="0.88041700700000003"/>
    <n v="1"/>
    <s v="Apr"/>
    <n v="2026"/>
    <s v="Q2"/>
  </r>
  <r>
    <n v="485"/>
    <x v="484"/>
    <x v="1"/>
    <n v="3558"/>
    <n v="712"/>
    <n v="3655"/>
    <n v="2849"/>
    <n v="2660"/>
    <n v="0.43452039100000001"/>
    <n v="0.86037523199999999"/>
    <n v="795"/>
    <n v="669"/>
    <n v="6"/>
    <n v="0.82045651900000005"/>
    <n v="0.82398160099999995"/>
    <b v="0"/>
    <n v="0.70564186399999995"/>
    <n v="1"/>
    <s v="Apr"/>
    <n v="2026"/>
    <s v="Q2"/>
  </r>
  <r>
    <n v="486"/>
    <x v="485"/>
    <x v="3"/>
    <n v="4615"/>
    <n v="4314"/>
    <n v="1607"/>
    <n v="3473"/>
    <n v="2394"/>
    <n v="0.57083168200000001"/>
    <n v="1.9961734959999999"/>
    <n v="2599"/>
    <n v="1958"/>
    <n v="9"/>
    <n v="0.73832165100000002"/>
    <n v="0.91840892200000002"/>
    <b v="0"/>
    <n v="0.92170891300000002"/>
    <n v="1"/>
    <s v="May"/>
    <n v="2026"/>
    <s v="Q2"/>
  </r>
  <r>
    <n v="487"/>
    <x v="486"/>
    <x v="2"/>
    <n v="3348"/>
    <n v="3572"/>
    <n v="2923"/>
    <n v="1392"/>
    <n v="2173"/>
    <n v="0.75644581399999999"/>
    <n v="1.0375241340000001"/>
    <n v="2083"/>
    <n v="3075"/>
    <n v="5"/>
    <n v="1.166769969"/>
    <n v="0.87081774199999995"/>
    <b v="0"/>
    <n v="0.66271463600000002"/>
    <n v="1"/>
    <s v="May"/>
    <n v="2026"/>
    <s v="Q2"/>
  </r>
  <r>
    <n v="488"/>
    <x v="487"/>
    <x v="0"/>
    <n v="758"/>
    <n v="533"/>
    <n v="2408"/>
    <n v="1112"/>
    <n v="1943"/>
    <n v="0.57998916199999995"/>
    <n v="0.54762684800000005"/>
    <n v="499"/>
    <n v="1688"/>
    <n v="5"/>
    <n v="0.64701424799999996"/>
    <n v="0.99279393500000002"/>
    <b v="0"/>
    <n v="0.13327882299999999"/>
    <n v="1"/>
    <s v="May"/>
    <n v="2026"/>
    <s v="Q2"/>
  </r>
  <r>
    <n v="489"/>
    <x v="488"/>
    <x v="1"/>
    <n v="4416"/>
    <n v="2038"/>
    <n v="544"/>
    <n v="2908"/>
    <n v="1823"/>
    <n v="0.30121594800000001"/>
    <n v="0.64903127500000002"/>
    <n v="1402"/>
    <n v="1397"/>
    <n v="4"/>
    <n v="0.66363713599999996"/>
    <n v="0.90822446800000001"/>
    <b v="0"/>
    <n v="0.88103025300000004"/>
    <n v="0"/>
    <s v="May"/>
    <n v="2026"/>
    <s v="Q2"/>
  </r>
  <r>
    <n v="490"/>
    <x v="489"/>
    <x v="1"/>
    <n v="2968"/>
    <n v="4058"/>
    <n v="1151"/>
    <n v="2984"/>
    <n v="1729"/>
    <n v="0.55860372300000005"/>
    <n v="1.745006558"/>
    <n v="1487"/>
    <n v="3036"/>
    <n v="9"/>
    <n v="0.56794195700000005"/>
    <n v="0.81738681499999999"/>
    <b v="0"/>
    <n v="0.58503679500000005"/>
    <n v="1"/>
    <s v="May"/>
    <n v="2026"/>
    <s v="Q2"/>
  </r>
  <r>
    <n v="491"/>
    <x v="490"/>
    <x v="3"/>
    <n v="2673"/>
    <n v="3609"/>
    <n v="592"/>
    <n v="2001"/>
    <n v="1202"/>
    <n v="0.717874491"/>
    <n v="1.215524735"/>
    <n v="2892"/>
    <n v="3461"/>
    <n v="6"/>
    <n v="1.434275505"/>
    <n v="0.86995157899999997"/>
    <b v="0"/>
    <n v="0.52473426000000001"/>
    <n v="1"/>
    <s v="May"/>
    <n v="2026"/>
    <s v="Q2"/>
  </r>
  <r>
    <n v="492"/>
    <x v="491"/>
    <x v="2"/>
    <n v="4471"/>
    <n v="1473"/>
    <n v="1885"/>
    <n v="4530"/>
    <n v="2401"/>
    <n v="0.79705110700000004"/>
    <n v="1.7191312919999999"/>
    <n v="2649"/>
    <n v="2113"/>
    <n v="3"/>
    <n v="1.635643135"/>
    <n v="0.88660413100000002"/>
    <b v="0"/>
    <n v="0.89227309899999996"/>
    <n v="1"/>
    <s v="May"/>
    <n v="2026"/>
    <s v="Q2"/>
  </r>
  <r>
    <n v="493"/>
    <x v="492"/>
    <x v="0"/>
    <n v="1954"/>
    <n v="3900"/>
    <n v="3109"/>
    <n v="2877"/>
    <n v="899"/>
    <n v="0.62354273299999996"/>
    <n v="1.2992361130000001"/>
    <n v="1651"/>
    <n v="3093"/>
    <n v="6"/>
    <n v="1.462777993"/>
    <n v="0.99942520400000001"/>
    <b v="0"/>
    <n v="0.37775960800000002"/>
    <n v="0"/>
    <s v="May"/>
    <n v="2026"/>
    <s v="Q2"/>
  </r>
  <r>
    <n v="494"/>
    <x v="493"/>
    <x v="1"/>
    <n v="3740"/>
    <n v="2754"/>
    <n v="1656"/>
    <n v="2466"/>
    <n v="2674"/>
    <n v="0.44150270000000003"/>
    <n v="1.978554235"/>
    <n v="1508"/>
    <n v="536"/>
    <n v="1"/>
    <n v="1.1569014419999999"/>
    <n v="0.91210197199999998"/>
    <b v="0"/>
    <n v="0.74284546200000001"/>
    <n v="1"/>
    <s v="May"/>
    <n v="2026"/>
    <s v="Q2"/>
  </r>
  <r>
    <n v="495"/>
    <x v="494"/>
    <x v="3"/>
    <n v="417"/>
    <n v="3951"/>
    <n v="2785"/>
    <n v="741"/>
    <n v="3644"/>
    <n v="0.30679303600000002"/>
    <n v="1.0230662500000001"/>
    <n v="1491"/>
    <n v="2215"/>
    <n v="8"/>
    <n v="0.67420390399999997"/>
    <n v="0.91312731199999997"/>
    <b v="0"/>
    <n v="6.3573181000000006E-2"/>
    <n v="1"/>
    <s v="May"/>
    <n v="2026"/>
    <s v="Q2"/>
  </r>
  <r>
    <n v="496"/>
    <x v="495"/>
    <x v="3"/>
    <n v="3740"/>
    <n v="3079"/>
    <n v="3105"/>
    <n v="2198"/>
    <n v="2131"/>
    <n v="0.49630894599999997"/>
    <n v="1.0498665519999999"/>
    <n v="2990"/>
    <n v="1628"/>
    <n v="3"/>
    <n v="1.8921170110000001"/>
    <n v="0.87048075400000002"/>
    <b v="0"/>
    <n v="0.74284546200000001"/>
    <n v="1"/>
    <s v="May"/>
    <n v="2026"/>
    <s v="Q2"/>
  </r>
  <r>
    <n v="497"/>
    <x v="496"/>
    <x v="2"/>
    <n v="1573"/>
    <n v="991"/>
    <n v="1458"/>
    <n v="2336"/>
    <n v="1050"/>
    <n v="0.73921972999999996"/>
    <n v="2.7313507279999998"/>
    <n v="2631"/>
    <n v="1587"/>
    <n v="7"/>
    <n v="1.7205912350000001"/>
    <n v="0.87671243899999995"/>
    <b v="0"/>
    <n v="0.29987735100000001"/>
    <n v="1"/>
    <s v="May"/>
    <n v="2026"/>
    <s v="Q2"/>
  </r>
  <r>
    <n v="498"/>
    <x v="497"/>
    <x v="1"/>
    <n v="935"/>
    <n v="2661"/>
    <n v="3054"/>
    <n v="2114"/>
    <n v="2442"/>
    <n v="0.27720062200000001"/>
    <n v="2.5286441650000002"/>
    <n v="1831"/>
    <n v="2566"/>
    <n v="1"/>
    <n v="1.951650852"/>
    <n v="0.80846908500000003"/>
    <b v="0"/>
    <n v="0.16946034300000001"/>
    <n v="1"/>
    <s v="May"/>
    <n v="2026"/>
    <s v="Q2"/>
  </r>
  <r>
    <n v="499"/>
    <x v="498"/>
    <x v="3"/>
    <n v="951"/>
    <n v="767"/>
    <n v="2714"/>
    <n v="560"/>
    <n v="3059"/>
    <n v="0.68074512300000001"/>
    <n v="1.351000059"/>
    <n v="2487"/>
    <n v="1320"/>
    <n v="7"/>
    <n v="0.855564883"/>
    <n v="0.97033292100000001"/>
    <b v="0"/>
    <n v="0.172730989"/>
    <n v="1"/>
    <s v="May"/>
    <n v="2026"/>
    <s v="Q2"/>
  </r>
  <r>
    <n v="500"/>
    <x v="499"/>
    <x v="0"/>
    <n v="3005"/>
    <n v="1686"/>
    <n v="3951"/>
    <n v="3606"/>
    <n v="3962"/>
    <n v="0.232726567"/>
    <n v="2.6544492220000002"/>
    <n v="3441"/>
    <n v="3924"/>
    <n v="1"/>
    <n v="0.77516148699999998"/>
    <n v="0.87704476200000003"/>
    <b v="0"/>
    <n v="0.59260016400000004"/>
    <n v="1"/>
    <s v="May"/>
    <n v="2026"/>
    <s v="Q2"/>
  </r>
  <r>
    <n v="501"/>
    <x v="500"/>
    <x v="2"/>
    <n v="3303"/>
    <n v="3663"/>
    <n v="2650"/>
    <n v="3986"/>
    <n v="586"/>
    <n v="0.398867415"/>
    <n v="1.3490908829999999"/>
    <n v="1814"/>
    <n v="1094"/>
    <n v="5"/>
    <n v="1.8647415220000001"/>
    <n v="0.80144172700000005"/>
    <b v="0"/>
    <n v="0.65351594400000002"/>
    <n v="1"/>
    <s v="May"/>
    <n v="2026"/>
    <s v="Q2"/>
  </r>
  <r>
    <n v="502"/>
    <x v="501"/>
    <x v="0"/>
    <n v="1133"/>
    <n v="1457"/>
    <n v="2275"/>
    <n v="833"/>
    <n v="3735"/>
    <n v="0.455796164"/>
    <n v="1.8807574250000001"/>
    <n v="2869"/>
    <n v="2682"/>
    <n v="8"/>
    <n v="0.58183666999999994"/>
    <n v="0.82942443099999996"/>
    <b v="0"/>
    <n v="0.20993458700000001"/>
    <n v="1"/>
    <s v="May"/>
    <n v="2026"/>
    <s v="Q2"/>
  </r>
  <r>
    <n v="503"/>
    <x v="502"/>
    <x v="3"/>
    <n v="2131"/>
    <n v="3015"/>
    <n v="736"/>
    <n v="1202"/>
    <n v="2465"/>
    <n v="0.45887166200000001"/>
    <n v="2.9904330250000002"/>
    <n v="3830"/>
    <n v="886"/>
    <n v="4"/>
    <n v="1.2515306349999999"/>
    <n v="0.84134102399999999"/>
    <b v="0"/>
    <n v="0.41394112799999999"/>
    <n v="0"/>
    <s v="May"/>
    <n v="2026"/>
    <s v="Q2"/>
  </r>
  <r>
    <n v="504"/>
    <x v="503"/>
    <x v="3"/>
    <n v="1365"/>
    <n v="2559"/>
    <n v="3341"/>
    <n v="3032"/>
    <n v="3270"/>
    <n v="0.486183219"/>
    <n v="0.746022038"/>
    <n v="4019"/>
    <n v="3692"/>
    <n v="1"/>
    <n v="1.4227541969999999"/>
    <n v="0.803447205"/>
    <b v="0"/>
    <n v="0.257358953"/>
    <n v="1"/>
    <s v="May"/>
    <n v="2026"/>
    <s v="Q2"/>
  </r>
  <r>
    <n v="505"/>
    <x v="504"/>
    <x v="0"/>
    <n v="310"/>
    <n v="2921"/>
    <n v="938"/>
    <n v="4854"/>
    <n v="2377"/>
    <n v="0.26247768399999999"/>
    <n v="1.8574274529999999"/>
    <n v="456"/>
    <n v="3951"/>
    <n v="3"/>
    <n v="1.9040252070000001"/>
    <n v="0.93602874899999999"/>
    <b v="0"/>
    <n v="4.1700736000000002E-2"/>
    <n v="1"/>
    <s v="May"/>
    <n v="2026"/>
    <s v="Q2"/>
  </r>
  <r>
    <n v="506"/>
    <x v="505"/>
    <x v="2"/>
    <n v="610"/>
    <n v="996"/>
    <n v="3746"/>
    <n v="4769"/>
    <n v="1696"/>
    <n v="0.239894634"/>
    <n v="2.4089511400000001"/>
    <n v="322"/>
    <n v="1048"/>
    <n v="9"/>
    <n v="1.606097715"/>
    <n v="0.92164088799999999"/>
    <b v="0"/>
    <n v="0.103025348"/>
    <n v="1"/>
    <s v="May"/>
    <n v="2026"/>
    <s v="Q2"/>
  </r>
  <r>
    <n v="507"/>
    <x v="506"/>
    <x v="2"/>
    <n v="4444"/>
    <n v="4182"/>
    <n v="2005"/>
    <n v="2838"/>
    <n v="2338"/>
    <n v="0.43482331299999999"/>
    <n v="1.0616590850000001"/>
    <n v="3463"/>
    <n v="3147"/>
    <n v="7"/>
    <n v="1.14774741"/>
    <n v="0.901501946"/>
    <b v="0"/>
    <n v="0.88675388399999999"/>
    <n v="1"/>
    <s v="May"/>
    <n v="2026"/>
    <s v="Q2"/>
  </r>
  <r>
    <n v="508"/>
    <x v="507"/>
    <x v="1"/>
    <n v="1680"/>
    <n v="2671"/>
    <n v="1225"/>
    <n v="2806"/>
    <n v="799"/>
    <n v="0.248462918"/>
    <n v="2.2881366089999999"/>
    <n v="2810"/>
    <n v="2215"/>
    <n v="9"/>
    <n v="0.994468091"/>
    <n v="0.96646561099999995"/>
    <b v="0"/>
    <n v="0.32174979599999998"/>
    <n v="1"/>
    <s v="May"/>
    <n v="2026"/>
    <s v="Q2"/>
  </r>
  <r>
    <n v="509"/>
    <x v="508"/>
    <x v="0"/>
    <n v="4142"/>
    <n v="1257"/>
    <n v="2218"/>
    <n v="3263"/>
    <n v="3020"/>
    <n v="0.284449587"/>
    <n v="2.8033758899999999"/>
    <n v="3445"/>
    <n v="3965"/>
    <n v="7"/>
    <n v="1.3873513470000001"/>
    <n v="0.91230350800000004"/>
    <b v="0"/>
    <n v="0.82502044200000002"/>
    <n v="1"/>
    <s v="May"/>
    <n v="2026"/>
    <s v="Q2"/>
  </r>
  <r>
    <n v="510"/>
    <x v="509"/>
    <x v="3"/>
    <n v="4267"/>
    <n v="810"/>
    <n v="3250"/>
    <n v="622"/>
    <n v="546"/>
    <n v="0.44684689100000002"/>
    <n v="1.961874957"/>
    <n v="759"/>
    <n v="2590"/>
    <n v="6"/>
    <n v="0.71056064799999996"/>
    <n v="0.95952053299999995"/>
    <b v="0"/>
    <n v="0.85057236300000005"/>
    <n v="1"/>
    <s v="May"/>
    <n v="2026"/>
    <s v="Q2"/>
  </r>
  <r>
    <n v="511"/>
    <x v="510"/>
    <x v="2"/>
    <n v="1673"/>
    <n v="1889"/>
    <n v="494"/>
    <n v="3527"/>
    <n v="703"/>
    <n v="0.26866912300000001"/>
    <n v="1.172028501"/>
    <n v="2148"/>
    <n v="951"/>
    <n v="4"/>
    <n v="1.648136281"/>
    <n v="0.86880095199999996"/>
    <b v="0"/>
    <n v="0.32031888800000002"/>
    <n v="1"/>
    <s v="May"/>
    <n v="2026"/>
    <s v="Q2"/>
  </r>
  <r>
    <n v="512"/>
    <x v="511"/>
    <x v="0"/>
    <n v="2061"/>
    <n v="1617"/>
    <n v="1478"/>
    <n v="4540"/>
    <n v="2688"/>
    <n v="0.427778516"/>
    <n v="2.880637289"/>
    <n v="639"/>
    <n v="3917"/>
    <n v="1"/>
    <n v="0.85825084699999998"/>
    <n v="0.82938136900000003"/>
    <b v="0"/>
    <n v="0.39963205200000002"/>
    <n v="1"/>
    <s v="May"/>
    <n v="2026"/>
    <s v="Q2"/>
  </r>
  <r>
    <n v="513"/>
    <x v="512"/>
    <x v="1"/>
    <n v="226"/>
    <n v="2076"/>
    <n v="722"/>
    <n v="3369"/>
    <n v="3953"/>
    <n v="0.68568952299999997"/>
    <n v="2.011118057"/>
    <n v="4381"/>
    <n v="2711"/>
    <n v="5"/>
    <n v="1.508628885"/>
    <n v="0.82129766000000004"/>
    <b v="0"/>
    <n v="2.4529845000000002E-2"/>
    <n v="1"/>
    <s v="May"/>
    <n v="2026"/>
    <s v="Q2"/>
  </r>
  <r>
    <n v="514"/>
    <x v="513"/>
    <x v="3"/>
    <n v="3045"/>
    <n v="3725"/>
    <n v="1634"/>
    <n v="505"/>
    <n v="1173"/>
    <n v="0.25031018199999999"/>
    <n v="1.84986063"/>
    <n v="4780"/>
    <n v="992"/>
    <n v="7"/>
    <n v="1.4617996529999999"/>
    <n v="0.98541910700000002"/>
    <b v="0"/>
    <n v="0.60077677799999996"/>
    <n v="1"/>
    <s v="May"/>
    <n v="2026"/>
    <s v="Q2"/>
  </r>
  <r>
    <n v="515"/>
    <x v="514"/>
    <x v="0"/>
    <n v="1563"/>
    <n v="4345"/>
    <n v="1221"/>
    <n v="1277"/>
    <n v="2179"/>
    <n v="0.29568591599999999"/>
    <n v="2.421870959"/>
    <n v="686"/>
    <n v="2080"/>
    <n v="7"/>
    <n v="1.806245568"/>
    <n v="0.93497883800000003"/>
    <b v="0"/>
    <n v="0.29783319699999999"/>
    <n v="1"/>
    <s v="May"/>
    <n v="2026"/>
    <s v="Q2"/>
  </r>
  <r>
    <n v="516"/>
    <x v="515"/>
    <x v="3"/>
    <n v="3359"/>
    <n v="2575"/>
    <n v="1234"/>
    <n v="4215"/>
    <n v="2446"/>
    <n v="0.50895427500000001"/>
    <n v="1.742449283"/>
    <n v="3357"/>
    <n v="3535"/>
    <n v="7"/>
    <n v="1.828510946"/>
    <n v="0.89089341600000005"/>
    <b v="0"/>
    <n v="0.66496320499999995"/>
    <n v="1"/>
    <s v="May"/>
    <n v="2026"/>
    <s v="Q2"/>
  </r>
  <r>
    <n v="517"/>
    <x v="516"/>
    <x v="0"/>
    <n v="953"/>
    <n v="2724"/>
    <n v="2885"/>
    <n v="3224"/>
    <n v="3780"/>
    <n v="0.73410628200000005"/>
    <n v="0.68373743600000003"/>
    <n v="282"/>
    <n v="3887"/>
    <n v="1"/>
    <n v="0.72013361300000001"/>
    <n v="0.83295753100000003"/>
    <b v="0"/>
    <n v="0.17313982"/>
    <n v="1"/>
    <s v="Jun"/>
    <n v="2026"/>
    <s v="Q2"/>
  </r>
  <r>
    <n v="518"/>
    <x v="517"/>
    <x v="2"/>
    <n v="3167"/>
    <n v="3820"/>
    <n v="2264"/>
    <n v="750"/>
    <n v="3498"/>
    <n v="0.65224098699999999"/>
    <n v="0.93477438899999998"/>
    <n v="958"/>
    <n v="3809"/>
    <n v="9"/>
    <n v="1.979748997"/>
    <n v="0.94694756499999999"/>
    <b v="0"/>
    <n v="0.62571545399999995"/>
    <n v="1"/>
    <s v="Jun"/>
    <n v="2026"/>
    <s v="Q2"/>
  </r>
  <r>
    <n v="519"/>
    <x v="518"/>
    <x v="2"/>
    <n v="2328"/>
    <n v="4353"/>
    <n v="649"/>
    <n v="1239"/>
    <n v="1386"/>
    <n v="0.295457684"/>
    <n v="2.8955644880000002"/>
    <n v="3067"/>
    <n v="2384"/>
    <n v="7"/>
    <n v="0.722321977"/>
    <n v="0.83151889599999995"/>
    <b v="0"/>
    <n v="0.45421095700000003"/>
    <n v="1"/>
    <s v="Jun"/>
    <n v="2026"/>
    <s v="Q2"/>
  </r>
  <r>
    <n v="520"/>
    <x v="519"/>
    <x v="3"/>
    <n v="3500"/>
    <n v="1412"/>
    <n v="301"/>
    <n v="4242"/>
    <n v="463"/>
    <n v="0.2258529"/>
    <n v="1.060223685"/>
    <n v="4489"/>
    <n v="457"/>
    <n v="7"/>
    <n v="1.5440523239999999"/>
    <n v="0.89860373999999998"/>
    <b v="1"/>
    <n v="0.69378577299999999"/>
    <n v="0"/>
    <s v="Jun"/>
    <n v="2026"/>
    <s v="Q2"/>
  </r>
  <r>
    <n v="521"/>
    <x v="520"/>
    <x v="1"/>
    <n v="4600"/>
    <n v="4467"/>
    <n v="3369"/>
    <n v="3288"/>
    <n v="870"/>
    <n v="0.64198876500000002"/>
    <n v="2.9974337040000001"/>
    <n v="1768"/>
    <n v="2709"/>
    <n v="1"/>
    <n v="1.9060301310000001"/>
    <n v="0.92837521199999995"/>
    <b v="1"/>
    <n v="0.91864268199999999"/>
    <n v="1"/>
    <s v="Jun"/>
    <n v="2026"/>
    <s v="Q2"/>
  </r>
  <r>
    <n v="522"/>
    <x v="521"/>
    <x v="0"/>
    <n v="2773"/>
    <n v="3813"/>
    <n v="3705"/>
    <n v="1942"/>
    <n v="822"/>
    <n v="0.21312045099999999"/>
    <n v="2.455665228"/>
    <n v="419"/>
    <n v="3633"/>
    <n v="1"/>
    <n v="0.58211048099999996"/>
    <n v="0.94593634999999998"/>
    <b v="0"/>
    <n v="0.54517579699999996"/>
    <n v="1"/>
    <s v="Jun"/>
    <n v="2026"/>
    <s v="Q2"/>
  </r>
  <r>
    <n v="523"/>
    <x v="522"/>
    <x v="3"/>
    <n v="3190"/>
    <n v="3429"/>
    <n v="3384"/>
    <n v="4449"/>
    <n v="1063"/>
    <n v="0.66352076999999998"/>
    <n v="1.3894259920000001"/>
    <n v="3196"/>
    <n v="2546"/>
    <n v="7"/>
    <n v="0.85426937800000002"/>
    <n v="0.80468600199999996"/>
    <b v="0"/>
    <n v="0.63041700700000003"/>
    <n v="1"/>
    <s v="Jun"/>
    <n v="2026"/>
    <s v="Q2"/>
  </r>
  <r>
    <n v="524"/>
    <x v="523"/>
    <x v="3"/>
    <n v="2655"/>
    <n v="2661"/>
    <n v="2789"/>
    <n v="4502"/>
    <n v="3846"/>
    <n v="0.65488358700000004"/>
    <n v="0.97831117599999995"/>
    <n v="3930"/>
    <n v="1545"/>
    <n v="5"/>
    <n v="1.589494003"/>
    <n v="0.914985037"/>
    <b v="0"/>
    <n v="0.52105478299999997"/>
    <n v="1"/>
    <s v="Jun"/>
    <n v="2026"/>
    <s v="Q2"/>
  </r>
  <r>
    <n v="525"/>
    <x v="524"/>
    <x v="0"/>
    <n v="3417"/>
    <n v="818"/>
    <n v="1190"/>
    <n v="2243"/>
    <n v="3369"/>
    <n v="0.49208161700000003"/>
    <n v="1.402553237"/>
    <n v="2542"/>
    <n v="1439"/>
    <n v="2"/>
    <n v="1.179431085"/>
    <n v="0.82008691"/>
    <b v="0"/>
    <n v="0.67681929699999999"/>
    <n v="1"/>
    <s v="Jun"/>
    <n v="2026"/>
    <s v="Q2"/>
  </r>
  <r>
    <n v="526"/>
    <x v="525"/>
    <x v="2"/>
    <n v="3519"/>
    <n v="1004"/>
    <n v="2416"/>
    <n v="2323"/>
    <n v="1961"/>
    <n v="0.40955036700000003"/>
    <n v="1.272554242"/>
    <n v="3675"/>
    <n v="1927"/>
    <n v="1"/>
    <n v="1.486635076"/>
    <n v="0.88561947399999996"/>
    <b v="0"/>
    <n v="0.69766966500000005"/>
    <n v="1"/>
    <s v="Jun"/>
    <n v="2026"/>
    <s v="Q2"/>
  </r>
  <r>
    <n v="527"/>
    <x v="526"/>
    <x v="0"/>
    <n v="3297"/>
    <n v="3838"/>
    <n v="2091"/>
    <n v="1122"/>
    <n v="2561"/>
    <n v="0.510104377"/>
    <n v="2.9989944460000002"/>
    <n v="3036"/>
    <n v="1634"/>
    <n v="4"/>
    <n v="1.11699653"/>
    <n v="0.90013512100000004"/>
    <b v="0"/>
    <n v="0.65228945199999999"/>
    <n v="1"/>
    <s v="Jun"/>
    <n v="2026"/>
    <s v="Q2"/>
  </r>
  <r>
    <n v="528"/>
    <x v="527"/>
    <x v="3"/>
    <n v="4319"/>
    <n v="648"/>
    <n v="531"/>
    <n v="3602"/>
    <n v="3744"/>
    <n v="0.58856040399999998"/>
    <n v="1.8527593630000001"/>
    <n v="1563"/>
    <n v="1396"/>
    <n v="4"/>
    <n v="0.84985484200000005"/>
    <n v="0.80530612899999998"/>
    <b v="0"/>
    <n v="0.86120196199999999"/>
    <n v="1"/>
    <s v="Jun"/>
    <n v="2026"/>
    <s v="Q2"/>
  </r>
  <r>
    <n v="529"/>
    <x v="528"/>
    <x v="3"/>
    <n v="2473"/>
    <n v="717"/>
    <n v="2325"/>
    <n v="2574"/>
    <n v="982"/>
    <n v="0.76186934500000003"/>
    <n v="2.6556389139999999"/>
    <n v="4470"/>
    <n v="513"/>
    <n v="2"/>
    <n v="1.1075624879999999"/>
    <n v="0.93404702399999995"/>
    <b v="0"/>
    <n v="0.48385118599999999"/>
    <n v="1"/>
    <s v="Jun"/>
    <n v="2026"/>
    <s v="Q2"/>
  </r>
  <r>
    <n v="530"/>
    <x v="529"/>
    <x v="3"/>
    <n v="4881"/>
    <n v="4494"/>
    <n v="3203"/>
    <n v="790"/>
    <n v="3603"/>
    <n v="0.56953638600000001"/>
    <n v="2.1445330020000002"/>
    <n v="863"/>
    <n v="1162"/>
    <n v="4"/>
    <n v="0.91730717500000003"/>
    <n v="0.91788104800000003"/>
    <b v="0"/>
    <n v="0.97608340100000002"/>
    <n v="1"/>
    <s v="Jun"/>
    <n v="2026"/>
    <s v="Q2"/>
  </r>
  <r>
    <n v="531"/>
    <x v="530"/>
    <x v="3"/>
    <n v="680"/>
    <n v="3079"/>
    <n v="2099"/>
    <n v="4379"/>
    <n v="2148"/>
    <n v="0.60964455100000003"/>
    <n v="2.4958363280000002"/>
    <n v="4046"/>
    <n v="2273"/>
    <n v="8"/>
    <n v="1.90683066"/>
    <n v="0.94460768100000003"/>
    <b v="0"/>
    <n v="0.11733442400000001"/>
    <n v="1"/>
    <s v="Jun"/>
    <n v="2026"/>
    <s v="Q2"/>
  </r>
  <r>
    <n v="532"/>
    <x v="531"/>
    <x v="0"/>
    <n v="2504"/>
    <n v="3879"/>
    <n v="3064"/>
    <n v="2749"/>
    <n v="239"/>
    <n v="0.64809576700000004"/>
    <n v="0.51798008699999998"/>
    <n v="3057"/>
    <n v="2809"/>
    <n v="9"/>
    <n v="0.53655253400000003"/>
    <n v="0.95587625799999998"/>
    <b v="0"/>
    <n v="0.49018806199999998"/>
    <n v="1"/>
    <s v="Jun"/>
    <n v="2026"/>
    <s v="Q2"/>
  </r>
  <r>
    <n v="533"/>
    <x v="532"/>
    <x v="1"/>
    <n v="1650"/>
    <n v="3180"/>
    <n v="2866"/>
    <n v="2244"/>
    <n v="3701"/>
    <n v="0.51653107799999998"/>
    <n v="1.089152946"/>
    <n v="2156"/>
    <n v="454"/>
    <n v="4"/>
    <n v="0.85497619899999999"/>
    <n v="0.93808515400000003"/>
    <b v="0"/>
    <n v="0.31561733400000003"/>
    <n v="1"/>
    <s v="Jun"/>
    <n v="2026"/>
    <s v="Q2"/>
  </r>
  <r>
    <n v="534"/>
    <x v="533"/>
    <x v="2"/>
    <n v="2684"/>
    <n v="799"/>
    <n v="3759"/>
    <n v="1410"/>
    <n v="1293"/>
    <n v="0.50013060200000004"/>
    <n v="0.68839883199999996"/>
    <n v="1147"/>
    <n v="2475"/>
    <n v="1"/>
    <n v="0.97909535999999997"/>
    <n v="0.88885479899999997"/>
    <b v="1"/>
    <n v="0.52698282900000004"/>
    <n v="1"/>
    <s v="Jun"/>
    <n v="2026"/>
    <s v="Q2"/>
  </r>
  <r>
    <n v="535"/>
    <x v="534"/>
    <x v="1"/>
    <n v="106"/>
    <n v="1185"/>
    <n v="3557"/>
    <n v="4337"/>
    <n v="147"/>
    <n v="0.633422704"/>
    <n v="2.6175823600000001"/>
    <n v="424"/>
    <n v="2654"/>
    <n v="2"/>
    <n v="1.569066793"/>
    <n v="0.82692312199999995"/>
    <b v="0"/>
    <n v="0"/>
    <n v="1"/>
    <s v="Jun"/>
    <n v="2026"/>
    <s v="Q2"/>
  </r>
  <r>
    <n v="536"/>
    <x v="535"/>
    <x v="0"/>
    <n v="326"/>
    <n v="2682"/>
    <n v="1087"/>
    <n v="3573"/>
    <n v="2263"/>
    <n v="0.69512586499999995"/>
    <n v="0.88775562900000005"/>
    <n v="3811"/>
    <n v="410"/>
    <n v="3"/>
    <n v="1.2402973770000001"/>
    <n v="0.944110754"/>
    <b v="0"/>
    <n v="4.4971381999999997E-2"/>
    <n v="1"/>
    <s v="Jun"/>
    <n v="2026"/>
    <s v="Q2"/>
  </r>
  <r>
    <n v="537"/>
    <x v="536"/>
    <x v="1"/>
    <n v="787"/>
    <n v="3174"/>
    <n v="351"/>
    <n v="4813"/>
    <n v="3698"/>
    <n v="0.22934211099999999"/>
    <n v="1.1378700310000001"/>
    <n v="3291"/>
    <n v="1361"/>
    <n v="8"/>
    <n v="0.59986779400000001"/>
    <n v="0.87192483899999995"/>
    <b v="0"/>
    <n v="0.13920686800000001"/>
    <n v="1"/>
    <s v="Jun"/>
    <n v="2026"/>
    <s v="Q2"/>
  </r>
  <r>
    <n v="538"/>
    <x v="537"/>
    <x v="2"/>
    <n v="1434"/>
    <n v="3444"/>
    <n v="3143"/>
    <n v="1273"/>
    <n v="3673"/>
    <n v="0.32773646899999997"/>
    <n v="0.95126523500000004"/>
    <n v="580"/>
    <n v="2159"/>
    <n v="5"/>
    <n v="1.5769935960000001"/>
    <n v="0.90329849200000001"/>
    <b v="0"/>
    <n v="0.27146361400000002"/>
    <n v="1"/>
    <s v="Jun"/>
    <n v="2026"/>
    <s v="Q2"/>
  </r>
  <r>
    <n v="539"/>
    <x v="538"/>
    <x v="0"/>
    <n v="2337"/>
    <n v="3878"/>
    <n v="567"/>
    <n v="4198"/>
    <n v="3046"/>
    <n v="0.30870017900000002"/>
    <n v="2.473627118"/>
    <n v="2035"/>
    <n v="2952"/>
    <n v="2"/>
    <n v="0.93469855899999998"/>
    <n v="0.884865346"/>
    <b v="0"/>
    <n v="0.45605069500000001"/>
    <n v="1"/>
    <s v="Jun"/>
    <n v="2026"/>
    <s v="Q2"/>
  </r>
  <r>
    <n v="540"/>
    <x v="539"/>
    <x v="3"/>
    <n v="3198"/>
    <n v="979"/>
    <n v="3544"/>
    <n v="590"/>
    <n v="1665"/>
    <n v="0.44352460999999999"/>
    <n v="2.316762207"/>
    <n v="3032"/>
    <n v="1166"/>
    <n v="4"/>
    <n v="1.7639361650000001"/>
    <n v="0.82485724699999996"/>
    <b v="0"/>
    <n v="0.63205233000000005"/>
    <n v="1"/>
    <s v="Jun"/>
    <n v="2026"/>
    <s v="Q2"/>
  </r>
  <r>
    <n v="541"/>
    <x v="540"/>
    <x v="1"/>
    <n v="550"/>
    <n v="1485"/>
    <n v="1543"/>
    <n v="3638"/>
    <n v="1736"/>
    <n v="0.41413063"/>
    <n v="2.731483442"/>
    <n v="2878"/>
    <n v="2033"/>
    <n v="7"/>
    <n v="0.88926310600000003"/>
    <n v="0.95953008799999995"/>
    <b v="0"/>
    <n v="9.0760425000000006E-2"/>
    <n v="1"/>
    <s v="Jun"/>
    <n v="2026"/>
    <s v="Q2"/>
  </r>
  <r>
    <n v="542"/>
    <x v="541"/>
    <x v="2"/>
    <n v="4227"/>
    <n v="3734"/>
    <n v="1940"/>
    <n v="4508"/>
    <n v="1862"/>
    <n v="0.61898449700000002"/>
    <n v="1.7483420780000001"/>
    <n v="4999"/>
    <n v="3112"/>
    <n v="4"/>
    <n v="0.81088949300000002"/>
    <n v="0.98017100899999998"/>
    <b v="1"/>
    <n v="0.84239574800000006"/>
    <n v="1"/>
    <s v="Jun"/>
    <n v="2026"/>
    <s v="Q2"/>
  </r>
  <r>
    <n v="543"/>
    <x v="542"/>
    <x v="2"/>
    <n v="2060"/>
    <n v="1086"/>
    <n v="1846"/>
    <n v="2333"/>
    <n v="2084"/>
    <n v="0.75587152199999996"/>
    <n v="1.6523345330000001"/>
    <n v="4975"/>
    <n v="2487"/>
    <n v="6"/>
    <n v="0.50660731199999998"/>
    <n v="0.93311623899999996"/>
    <b v="0"/>
    <n v="0.399427637"/>
    <n v="1"/>
    <s v="Jun"/>
    <n v="2026"/>
    <s v="Q2"/>
  </r>
  <r>
    <n v="544"/>
    <x v="543"/>
    <x v="3"/>
    <n v="3393"/>
    <n v="852"/>
    <n v="3124"/>
    <n v="3555"/>
    <n v="1091"/>
    <n v="0.30139913600000001"/>
    <n v="2.759632613"/>
    <n v="1089"/>
    <n v="2704"/>
    <n v="1"/>
    <n v="0.58570413200000004"/>
    <n v="0.85007169400000004"/>
    <b v="0"/>
    <n v="0.67191332800000003"/>
    <n v="1"/>
    <s v="Jun"/>
    <n v="2026"/>
    <s v="Q2"/>
  </r>
  <r>
    <n v="545"/>
    <x v="544"/>
    <x v="2"/>
    <n v="1895"/>
    <n v="822"/>
    <n v="637"/>
    <n v="4328"/>
    <n v="2425"/>
    <n v="0.50875329599999997"/>
    <n v="2.79794125"/>
    <n v="1861"/>
    <n v="846"/>
    <n v="1"/>
    <n v="1.1977075070000001"/>
    <n v="0.91136834300000003"/>
    <b v="0"/>
    <n v="0.36569910100000003"/>
    <n v="1"/>
    <s v="Jun"/>
    <n v="2026"/>
    <s v="Q2"/>
  </r>
  <r>
    <n v="546"/>
    <x v="545"/>
    <x v="3"/>
    <n v="4425"/>
    <n v="3379"/>
    <n v="2154"/>
    <n v="4895"/>
    <n v="3662"/>
    <n v="0.25850002900000002"/>
    <n v="1.089889227"/>
    <n v="1411"/>
    <n v="289"/>
    <n v="6"/>
    <n v="1.1826151730000001"/>
    <n v="0.91412877699999995"/>
    <b v="0"/>
    <n v="0.88286999200000005"/>
    <n v="1"/>
    <s v="Jun"/>
    <n v="2026"/>
    <s v="Q2"/>
  </r>
  <r>
    <n v="547"/>
    <x v="546"/>
    <x v="0"/>
    <n v="1685"/>
    <n v="4457"/>
    <n v="489"/>
    <n v="2404"/>
    <n v="263"/>
    <n v="0.247067386"/>
    <n v="0.920822064"/>
    <n v="367"/>
    <n v="2274"/>
    <n v="8"/>
    <n v="0.65841791800000005"/>
    <n v="0.86022520300000005"/>
    <b v="0"/>
    <n v="0.32277187200000002"/>
    <n v="1"/>
    <s v="Jul"/>
    <n v="2026"/>
    <s v="Q3"/>
  </r>
  <r>
    <n v="548"/>
    <x v="547"/>
    <x v="3"/>
    <n v="2041"/>
    <n v="2661"/>
    <n v="290"/>
    <n v="692"/>
    <n v="542"/>
    <n v="0.78706959399999998"/>
    <n v="1.209500947"/>
    <n v="1519"/>
    <n v="2268"/>
    <n v="9"/>
    <n v="0.64080608900000002"/>
    <n v="0.99411722599999996"/>
    <b v="0"/>
    <n v="0.395543745"/>
    <n v="1"/>
    <s v="Jul"/>
    <n v="2026"/>
    <s v="Q3"/>
  </r>
  <r>
    <n v="549"/>
    <x v="548"/>
    <x v="1"/>
    <n v="3579"/>
    <n v="2954"/>
    <n v="3141"/>
    <n v="467"/>
    <n v="1881"/>
    <n v="0.47964050000000003"/>
    <n v="1.3789483549999999"/>
    <n v="2797"/>
    <n v="831"/>
    <n v="2"/>
    <n v="1.7075515830000001"/>
    <n v="0.93392864200000003"/>
    <b v="1"/>
    <n v="0.70993458700000001"/>
    <n v="1"/>
    <s v="Jul"/>
    <n v="2026"/>
    <s v="Q3"/>
  </r>
  <r>
    <n v="550"/>
    <x v="549"/>
    <x v="1"/>
    <n v="1830"/>
    <n v="2292"/>
    <n v="307"/>
    <n v="1836"/>
    <n v="101"/>
    <n v="0.26298753000000002"/>
    <n v="2.892880849"/>
    <n v="4003"/>
    <n v="2220"/>
    <n v="7"/>
    <n v="1.882472878"/>
    <n v="0.83045583899999997"/>
    <b v="0"/>
    <n v="0.35241210099999998"/>
    <n v="1"/>
    <s v="Jul"/>
    <n v="2026"/>
    <s v="Q3"/>
  </r>
  <r>
    <n v="551"/>
    <x v="550"/>
    <x v="2"/>
    <n v="2506"/>
    <n v="2680"/>
    <n v="2461"/>
    <n v="2413"/>
    <n v="3517"/>
    <n v="0.69002686599999996"/>
    <n v="2.6256220639999999"/>
    <n v="3844"/>
    <n v="2088"/>
    <n v="1"/>
    <n v="1.390710353"/>
    <n v="0.82383458899999995"/>
    <b v="0"/>
    <n v="0.49059689299999998"/>
    <n v="1"/>
    <s v="Jul"/>
    <n v="2026"/>
    <s v="Q3"/>
  </r>
  <r>
    <n v="552"/>
    <x v="551"/>
    <x v="2"/>
    <n v="1381"/>
    <n v="1170"/>
    <n v="358"/>
    <n v="2868"/>
    <n v="3198"/>
    <n v="0.54585165999999996"/>
    <n v="2.28481406"/>
    <n v="3384"/>
    <n v="1488"/>
    <n v="1"/>
    <n v="1.700385308"/>
    <n v="0.95316132200000003"/>
    <b v="0"/>
    <n v="0.26062959899999999"/>
    <n v="1"/>
    <s v="Jul"/>
    <n v="2026"/>
    <s v="Q3"/>
  </r>
  <r>
    <n v="553"/>
    <x v="552"/>
    <x v="1"/>
    <n v="1549"/>
    <n v="1563"/>
    <n v="2960"/>
    <n v="2139"/>
    <n v="2935"/>
    <n v="0.77485389400000004"/>
    <n v="2.287482834"/>
    <n v="1666"/>
    <n v="3757"/>
    <n v="9"/>
    <n v="1.0841017150000001"/>
    <n v="0.80442773899999998"/>
    <b v="0"/>
    <n v="0.294971382"/>
    <n v="1"/>
    <s v="Jul"/>
    <n v="2026"/>
    <s v="Q3"/>
  </r>
  <r>
    <n v="554"/>
    <x v="553"/>
    <x v="2"/>
    <n v="3634"/>
    <n v="1303"/>
    <n v="3791"/>
    <n v="2503"/>
    <n v="905"/>
    <n v="0.76551133199999999"/>
    <n v="1.6077431040000001"/>
    <n v="2921"/>
    <n v="821"/>
    <n v="4"/>
    <n v="1.2186036389999999"/>
    <n v="0.90320775399999997"/>
    <b v="0"/>
    <n v="0.72117743300000003"/>
    <n v="1"/>
    <s v="Jul"/>
    <n v="2026"/>
    <s v="Q3"/>
  </r>
  <r>
    <n v="555"/>
    <x v="554"/>
    <x v="1"/>
    <n v="1173"/>
    <n v="1596"/>
    <n v="1554"/>
    <n v="2394"/>
    <n v="2259"/>
    <n v="0.78035769099999996"/>
    <n v="1.627207909"/>
    <n v="1142"/>
    <n v="119"/>
    <n v="5"/>
    <n v="1.5602519640000001"/>
    <n v="0.86999425699999999"/>
    <b v="0"/>
    <n v="0.218111202"/>
    <n v="1"/>
    <s v="Jul"/>
    <n v="2026"/>
    <s v="Q3"/>
  </r>
  <r>
    <n v="556"/>
    <x v="555"/>
    <x v="2"/>
    <n v="4594"/>
    <n v="3329"/>
    <n v="3135"/>
    <n v="1668"/>
    <n v="3403"/>
    <n v="0.797478574"/>
    <n v="1.0665710399999999"/>
    <n v="1724"/>
    <n v="972"/>
    <n v="5"/>
    <n v="0.93644280000000002"/>
    <n v="0.90923253100000001"/>
    <b v="0"/>
    <n v="0.91741618999999996"/>
    <n v="0"/>
    <s v="Jul"/>
    <n v="2026"/>
    <s v="Q3"/>
  </r>
  <r>
    <n v="557"/>
    <x v="556"/>
    <x v="3"/>
    <n v="559"/>
    <n v="2596"/>
    <n v="3462"/>
    <n v="569"/>
    <n v="2597"/>
    <n v="0.417063291"/>
    <n v="1.7692726519999999"/>
    <n v="3950"/>
    <n v="2910"/>
    <n v="7"/>
    <n v="1.839003376"/>
    <n v="0.832276244"/>
    <b v="0"/>
    <n v="9.2600163999999999E-2"/>
    <n v="1"/>
    <s v="Jul"/>
    <n v="2026"/>
    <s v="Q3"/>
  </r>
  <r>
    <n v="558"/>
    <x v="557"/>
    <x v="2"/>
    <n v="4459"/>
    <n v="1403"/>
    <n v="2605"/>
    <n v="2411"/>
    <n v="3064"/>
    <n v="0.69449753800000003"/>
    <n v="2.272433548"/>
    <n v="522"/>
    <n v="2840"/>
    <n v="2"/>
    <n v="1.7646280430000001"/>
    <n v="0.88717106999999995"/>
    <b v="0"/>
    <n v="0.88982011400000005"/>
    <n v="1"/>
    <s v="Jul"/>
    <n v="2026"/>
    <s v="Q3"/>
  </r>
  <r>
    <n v="559"/>
    <x v="558"/>
    <x v="2"/>
    <n v="1291"/>
    <n v="3441"/>
    <n v="1159"/>
    <n v="1410"/>
    <n v="2063"/>
    <n v="0.73570595599999999"/>
    <n v="0.93925961400000002"/>
    <n v="4473"/>
    <n v="1510"/>
    <n v="6"/>
    <n v="1.312480603"/>
    <n v="0.96481356699999998"/>
    <b v="0"/>
    <n v="0.242232216"/>
    <n v="1"/>
    <s v="Jul"/>
    <n v="2026"/>
    <s v="Q3"/>
  </r>
  <r>
    <n v="560"/>
    <x v="559"/>
    <x v="2"/>
    <n v="665"/>
    <n v="2619"/>
    <n v="1883"/>
    <n v="2839"/>
    <n v="834"/>
    <n v="0.68153176400000004"/>
    <n v="1.3719348760000001"/>
    <n v="1779"/>
    <n v="280"/>
    <n v="3"/>
    <n v="0.80130179599999996"/>
    <n v="0.93570861400000005"/>
    <b v="0"/>
    <n v="0.114268193"/>
    <n v="1"/>
    <s v="Jul"/>
    <n v="2026"/>
    <s v="Q3"/>
  </r>
  <r>
    <n v="561"/>
    <x v="560"/>
    <x v="1"/>
    <n v="3259"/>
    <n v="1148"/>
    <n v="3279"/>
    <n v="441"/>
    <n v="3342"/>
    <n v="0.56494498900000001"/>
    <n v="0.79304308099999998"/>
    <n v="541"/>
    <n v="1322"/>
    <n v="9"/>
    <n v="0.53865697599999995"/>
    <n v="0.88739523300000001"/>
    <b v="0"/>
    <n v="0.64452166799999999"/>
    <n v="1"/>
    <s v="Jul"/>
    <n v="2026"/>
    <s v="Q3"/>
  </r>
  <r>
    <n v="562"/>
    <x v="561"/>
    <x v="0"/>
    <n v="326"/>
    <n v="1256"/>
    <n v="678"/>
    <n v="1972"/>
    <n v="2853"/>
    <n v="0.50042215199999995"/>
    <n v="0.50510359699999996"/>
    <n v="408"/>
    <n v="3760"/>
    <n v="1"/>
    <n v="1.0083067100000001"/>
    <n v="0.88603045300000005"/>
    <b v="0"/>
    <n v="4.4971381999999997E-2"/>
    <n v="1"/>
    <s v="Jul"/>
    <n v="2026"/>
    <s v="Q3"/>
  </r>
  <r>
    <n v="563"/>
    <x v="562"/>
    <x v="2"/>
    <n v="2427"/>
    <n v="2593"/>
    <n v="412"/>
    <n v="1648"/>
    <n v="1560"/>
    <n v="0.74348179400000003"/>
    <n v="1.326840086"/>
    <n v="1034"/>
    <n v="1228"/>
    <n v="9"/>
    <n v="1.108809119"/>
    <n v="0.92777270899999997"/>
    <b v="0"/>
    <n v="0.474448078"/>
    <n v="0"/>
    <s v="Jul"/>
    <n v="2026"/>
    <s v="Q3"/>
  </r>
  <r>
    <n v="564"/>
    <x v="563"/>
    <x v="0"/>
    <n v="4965"/>
    <n v="1925"/>
    <n v="2894"/>
    <n v="1714"/>
    <n v="294"/>
    <n v="0.55116890799999996"/>
    <n v="0.94954167899999997"/>
    <n v="2739"/>
    <n v="765"/>
    <n v="6"/>
    <n v="1.6662554780000001"/>
    <n v="0.87016918200000004"/>
    <b v="0"/>
    <n v="0.99325429300000001"/>
    <n v="1"/>
    <s v="Jul"/>
    <n v="2026"/>
    <s v="Q3"/>
  </r>
  <r>
    <n v="565"/>
    <x v="564"/>
    <x v="2"/>
    <n v="2994"/>
    <n v="3038"/>
    <n v="2203"/>
    <n v="1768"/>
    <n v="1681"/>
    <n v="0.21607418"/>
    <n v="0.95233763400000004"/>
    <n v="3622"/>
    <n v="3019"/>
    <n v="8"/>
    <n v="0.92354919300000005"/>
    <n v="0.84502008900000003"/>
    <b v="0"/>
    <n v="0.59035159400000004"/>
    <n v="1"/>
    <s v="Jul"/>
    <n v="2026"/>
    <s v="Q3"/>
  </r>
  <r>
    <n v="566"/>
    <x v="565"/>
    <x v="2"/>
    <n v="2528"/>
    <n v="4377"/>
    <n v="1545"/>
    <n v="3463"/>
    <n v="3856"/>
    <n v="0.59411056600000001"/>
    <n v="1.841541189"/>
    <n v="723"/>
    <n v="3026"/>
    <n v="9"/>
    <n v="0.890286091"/>
    <n v="0.98890679000000004"/>
    <b v="0"/>
    <n v="0.49509403099999999"/>
    <n v="1"/>
    <s v="Jul"/>
    <n v="2026"/>
    <s v="Q3"/>
  </r>
  <r>
    <n v="567"/>
    <x v="566"/>
    <x v="0"/>
    <n v="1411"/>
    <n v="506"/>
    <n v="3788"/>
    <n v="1426"/>
    <n v="3765"/>
    <n v="0.44354366299999998"/>
    <n v="1.0805822519999999"/>
    <n v="2903"/>
    <n v="1207"/>
    <n v="2"/>
    <n v="1.2137873539999999"/>
    <n v="0.96176471600000002"/>
    <b v="0"/>
    <n v="0.26676206099999999"/>
    <n v="1"/>
    <s v="Jul"/>
    <n v="2026"/>
    <s v="Q3"/>
  </r>
  <r>
    <n v="568"/>
    <x v="567"/>
    <x v="2"/>
    <n v="2445"/>
    <n v="1099"/>
    <n v="2484"/>
    <n v="1249"/>
    <n v="1260"/>
    <n v="0.26558180999999997"/>
    <n v="2.8150747520000001"/>
    <n v="446"/>
    <n v="3799"/>
    <n v="8"/>
    <n v="0.95346975099999998"/>
    <n v="0.915582483"/>
    <b v="0"/>
    <n v="0.47812755499999998"/>
    <n v="1"/>
    <s v="Jul"/>
    <n v="2026"/>
    <s v="Q3"/>
  </r>
  <r>
    <n v="569"/>
    <x v="568"/>
    <x v="1"/>
    <n v="1879"/>
    <n v="1667"/>
    <n v="3174"/>
    <n v="642"/>
    <n v="3420"/>
    <n v="0.58842858799999997"/>
    <n v="1.8153476049999999"/>
    <n v="4704"/>
    <n v="121"/>
    <n v="1"/>
    <n v="1.789441992"/>
    <n v="0.89985235299999999"/>
    <b v="0"/>
    <n v="0.36242845499999998"/>
    <n v="1"/>
    <s v="Jul"/>
    <n v="2026"/>
    <s v="Q3"/>
  </r>
  <r>
    <n v="570"/>
    <x v="569"/>
    <x v="2"/>
    <n v="1778"/>
    <n v="2340"/>
    <n v="261"/>
    <n v="4977"/>
    <n v="3903"/>
    <n v="0.38073209299999999"/>
    <n v="2.379239068"/>
    <n v="1476"/>
    <n v="2816"/>
    <n v="1"/>
    <n v="1.1350366590000001"/>
    <n v="0.98150450300000003"/>
    <b v="0"/>
    <n v="0.34178250199999999"/>
    <n v="1"/>
    <s v="Jul"/>
    <n v="2026"/>
    <s v="Q3"/>
  </r>
  <r>
    <n v="571"/>
    <x v="570"/>
    <x v="0"/>
    <n v="1745"/>
    <n v="3650"/>
    <n v="2622"/>
    <n v="1466"/>
    <n v="2975"/>
    <n v="0.31162147600000001"/>
    <n v="1.5696514159999999"/>
    <n v="4195"/>
    <n v="2303"/>
    <n v="9"/>
    <n v="1.982151164"/>
    <n v="0.82173112100000001"/>
    <b v="0"/>
    <n v="0.335036795"/>
    <n v="1"/>
    <s v="Jul"/>
    <n v="2026"/>
    <s v="Q3"/>
  </r>
  <r>
    <n v="572"/>
    <x v="571"/>
    <x v="3"/>
    <n v="1939"/>
    <n v="4160"/>
    <n v="2574"/>
    <n v="747"/>
    <n v="2437"/>
    <n v="0.49353803200000002"/>
    <n v="1.153518944"/>
    <n v="1277"/>
    <n v="3869"/>
    <n v="7"/>
    <n v="0.85877981000000003"/>
    <n v="0.89779642800000004"/>
    <b v="0"/>
    <n v="0.37469337699999999"/>
    <n v="1"/>
    <s v="Jul"/>
    <n v="2026"/>
    <s v="Q3"/>
  </r>
  <r>
    <n v="573"/>
    <x v="572"/>
    <x v="0"/>
    <n v="1992"/>
    <n v="793"/>
    <n v="3014"/>
    <n v="3810"/>
    <n v="2307"/>
    <n v="0.29590335600000001"/>
    <n v="1.350460371"/>
    <n v="4926"/>
    <n v="3435"/>
    <n v="3"/>
    <n v="1.254608385"/>
    <n v="0.81833909000000005"/>
    <b v="0"/>
    <n v="0.38552739200000002"/>
    <n v="1"/>
    <s v="Jul"/>
    <n v="2026"/>
    <s v="Q3"/>
  </r>
  <r>
    <n v="574"/>
    <x v="573"/>
    <x v="1"/>
    <n v="2018"/>
    <n v="1729"/>
    <n v="3922"/>
    <n v="1103"/>
    <n v="2887"/>
    <n v="0.72731861399999997"/>
    <n v="2.1275025310000002"/>
    <n v="2830"/>
    <n v="2038"/>
    <n v="9"/>
    <n v="1.799272175"/>
    <n v="0.87333997699999999"/>
    <b v="0"/>
    <n v="0.39084219100000001"/>
    <n v="1"/>
    <s v="Jul"/>
    <n v="2026"/>
    <s v="Q3"/>
  </r>
  <r>
    <n v="575"/>
    <x v="574"/>
    <x v="2"/>
    <n v="4862"/>
    <n v="3900"/>
    <n v="1669"/>
    <n v="371"/>
    <n v="3380"/>
    <n v="0.728710635"/>
    <n v="1.1097047090000001"/>
    <n v="1877"/>
    <n v="730"/>
    <n v="2"/>
    <n v="0.63249169299999997"/>
    <n v="0.88283161200000004"/>
    <b v="0"/>
    <n v="0.97219950899999996"/>
    <n v="1"/>
    <s v="Jul"/>
    <n v="2026"/>
    <s v="Q3"/>
  </r>
  <r>
    <n v="576"/>
    <x v="575"/>
    <x v="0"/>
    <n v="2597"/>
    <n v="1949"/>
    <n v="590"/>
    <n v="1608"/>
    <n v="1008"/>
    <n v="0.54712892999999996"/>
    <n v="2.9266023759999999"/>
    <n v="4107"/>
    <n v="1814"/>
    <n v="2"/>
    <n v="1.322237286"/>
    <n v="0.80570211999999997"/>
    <b v="0"/>
    <n v="0.50919869200000001"/>
    <n v="1"/>
    <s v="Jul"/>
    <n v="2026"/>
    <s v="Q3"/>
  </r>
  <r>
    <n v="577"/>
    <x v="576"/>
    <x v="0"/>
    <n v="2830"/>
    <n v="3760"/>
    <n v="2450"/>
    <n v="4419"/>
    <n v="781"/>
    <n v="0.22810409500000001"/>
    <n v="2.0673519269999998"/>
    <n v="162"/>
    <n v="1013"/>
    <n v="3"/>
    <n v="1.3152659659999999"/>
    <n v="0.99088195000000001"/>
    <b v="0"/>
    <n v="0.55682747300000002"/>
    <n v="1"/>
    <s v="Jul"/>
    <n v="2026"/>
    <s v="Q3"/>
  </r>
  <r>
    <n v="578"/>
    <x v="577"/>
    <x v="1"/>
    <n v="2213"/>
    <n v="731"/>
    <n v="3030"/>
    <n v="1560"/>
    <n v="1406"/>
    <n v="0.38169805000000001"/>
    <n v="0.52244478999999999"/>
    <n v="1135"/>
    <n v="1151"/>
    <n v="8"/>
    <n v="0.55690592800000005"/>
    <n v="0.82117362199999999"/>
    <b v="0"/>
    <n v="0.43070318899999999"/>
    <n v="1"/>
    <s v="Aug"/>
    <n v="2026"/>
    <s v="Q3"/>
  </r>
  <r>
    <n v="579"/>
    <x v="578"/>
    <x v="1"/>
    <n v="2694"/>
    <n v="538"/>
    <n v="2889"/>
    <n v="823"/>
    <n v="2412"/>
    <n v="0.59208693199999995"/>
    <n v="1.032895058"/>
    <n v="885"/>
    <n v="2592"/>
    <n v="4"/>
    <n v="0.93565354499999998"/>
    <n v="0.84255320499999997"/>
    <b v="0"/>
    <n v="0.52902698299999995"/>
    <n v="1"/>
    <s v="Aug"/>
    <n v="2026"/>
    <s v="Q3"/>
  </r>
  <r>
    <n v="580"/>
    <x v="579"/>
    <x v="3"/>
    <n v="4453"/>
    <n v="3611"/>
    <n v="3469"/>
    <n v="1103"/>
    <n v="2014"/>
    <n v="0.55872812100000002"/>
    <n v="2.844852495"/>
    <n v="3764"/>
    <n v="1042"/>
    <n v="6"/>
    <n v="0.69830545799999999"/>
    <n v="0.94352675200000002"/>
    <b v="0"/>
    <n v="0.88859362200000003"/>
    <n v="1"/>
    <s v="Aug"/>
    <n v="2026"/>
    <s v="Q3"/>
  </r>
  <r>
    <n v="581"/>
    <x v="580"/>
    <x v="2"/>
    <n v="2492"/>
    <n v="1480"/>
    <n v="3202"/>
    <n v="1313"/>
    <n v="3853"/>
    <n v="0.72455848899999997"/>
    <n v="2.1047925200000002"/>
    <n v="4931"/>
    <n v="2884"/>
    <n v="5"/>
    <n v="0.94094462099999998"/>
    <n v="0.84655542299999997"/>
    <b v="0"/>
    <n v="0.48773507799999999"/>
    <n v="0"/>
    <s v="Aug"/>
    <n v="2026"/>
    <s v="Q3"/>
  </r>
  <r>
    <n v="582"/>
    <x v="581"/>
    <x v="2"/>
    <n v="4279"/>
    <n v="953"/>
    <n v="632"/>
    <n v="2851"/>
    <n v="1017"/>
    <n v="0.62925735100000002"/>
    <n v="1.9362983330000001"/>
    <n v="2468"/>
    <n v="3962"/>
    <n v="5"/>
    <n v="0.76000419299999999"/>
    <n v="0.943493523"/>
    <b v="0"/>
    <n v="0.85302534799999996"/>
    <n v="1"/>
    <s v="Aug"/>
    <n v="2026"/>
    <s v="Q3"/>
  </r>
  <r>
    <n v="583"/>
    <x v="582"/>
    <x v="1"/>
    <n v="1227"/>
    <n v="3552"/>
    <n v="406"/>
    <n v="1533"/>
    <n v="197"/>
    <n v="0.21652054500000001"/>
    <n v="2.1065355810000002"/>
    <n v="628"/>
    <n v="2784"/>
    <n v="3"/>
    <n v="1.783434272"/>
    <n v="0.99761484700000003"/>
    <b v="0"/>
    <n v="0.22914963199999999"/>
    <n v="1"/>
    <s v="Aug"/>
    <n v="2026"/>
    <s v="Q3"/>
  </r>
  <r>
    <n v="584"/>
    <x v="583"/>
    <x v="1"/>
    <n v="165"/>
    <n v="3116"/>
    <n v="1648"/>
    <n v="2136"/>
    <n v="397"/>
    <n v="0.775647431"/>
    <n v="0.99623276299999997"/>
    <n v="258"/>
    <n v="1937"/>
    <n v="1"/>
    <n v="1.791254211"/>
    <n v="0.84340148400000003"/>
    <b v="0"/>
    <n v="1.2060507E-2"/>
    <n v="1"/>
    <s v="Aug"/>
    <n v="2026"/>
    <s v="Q3"/>
  </r>
  <r>
    <n v="585"/>
    <x v="584"/>
    <x v="3"/>
    <n v="3684"/>
    <n v="1180"/>
    <n v="1540"/>
    <n v="1561"/>
    <n v="2277"/>
    <n v="0.57435622900000005"/>
    <n v="1.7690710599999999"/>
    <n v="623"/>
    <n v="3797"/>
    <n v="3"/>
    <n v="0.523864785"/>
    <n v="0.97833964799999995"/>
    <b v="0"/>
    <n v="0.73139820099999997"/>
    <n v="1"/>
    <s v="Aug"/>
    <n v="2026"/>
    <s v="Q3"/>
  </r>
  <r>
    <n v="586"/>
    <x v="585"/>
    <x v="1"/>
    <n v="1896"/>
    <n v="3867"/>
    <n v="3201"/>
    <n v="4445"/>
    <n v="2140"/>
    <n v="0.62587008899999996"/>
    <n v="0.519188239"/>
    <n v="3955"/>
    <n v="1958"/>
    <n v="1"/>
    <n v="1.6310940519999999"/>
    <n v="0.80109405"/>
    <b v="0"/>
    <n v="0.36590351599999998"/>
    <n v="1"/>
    <s v="Aug"/>
    <n v="2026"/>
    <s v="Q3"/>
  </r>
  <r>
    <n v="587"/>
    <x v="586"/>
    <x v="0"/>
    <n v="3319"/>
    <n v="502"/>
    <n v="2124"/>
    <n v="4052"/>
    <n v="564"/>
    <n v="0.22175678099999999"/>
    <n v="2.8039082469999999"/>
    <n v="3800"/>
    <n v="747"/>
    <n v="4"/>
    <n v="0.74255623299999995"/>
    <n v="0.88046636199999995"/>
    <b v="0"/>
    <n v="0.65678658999999995"/>
    <n v="1"/>
    <s v="Aug"/>
    <n v="2026"/>
    <s v="Q3"/>
  </r>
  <r>
    <n v="588"/>
    <x v="587"/>
    <x v="0"/>
    <n v="3843"/>
    <n v="621"/>
    <n v="792"/>
    <n v="2511"/>
    <n v="1952"/>
    <n v="0.22005528299999999"/>
    <n v="2.1088558150000001"/>
    <n v="3852"/>
    <n v="532"/>
    <n v="7"/>
    <n v="0.93907466399999995"/>
    <n v="0.88825273400000004"/>
    <b v="0"/>
    <n v="0.76390024499999998"/>
    <n v="1"/>
    <s v="Aug"/>
    <n v="2026"/>
    <s v="Q3"/>
  </r>
  <r>
    <n v="589"/>
    <x v="588"/>
    <x v="2"/>
    <n v="940"/>
    <n v="511"/>
    <n v="527"/>
    <n v="2682"/>
    <n v="2449"/>
    <n v="0.39853735299999998"/>
    <n v="2.013926852"/>
    <n v="1469"/>
    <n v="2040"/>
    <n v="2"/>
    <n v="1.7507545920000001"/>
    <n v="0.87636311099999997"/>
    <b v="0"/>
    <n v="0.17048242"/>
    <n v="1"/>
    <s v="Aug"/>
    <n v="2026"/>
    <s v="Q3"/>
  </r>
  <r>
    <n v="590"/>
    <x v="589"/>
    <x v="3"/>
    <n v="2771"/>
    <n v="619"/>
    <n v="2200"/>
    <n v="2263"/>
    <n v="2691"/>
    <n v="0.29436325899999999"/>
    <n v="1.6863806699999999"/>
    <n v="4579"/>
    <n v="1710"/>
    <n v="5"/>
    <n v="1.665966125"/>
    <n v="0.97054007200000003"/>
    <b v="0"/>
    <n v="0.54476696599999996"/>
    <n v="1"/>
    <s v="Aug"/>
    <n v="2026"/>
    <s v="Q3"/>
  </r>
  <r>
    <n v="591"/>
    <x v="590"/>
    <x v="2"/>
    <n v="827"/>
    <n v="2229"/>
    <n v="3730"/>
    <n v="334"/>
    <n v="1610"/>
    <n v="0.36962260400000002"/>
    <n v="1.8592515979999999"/>
    <n v="152"/>
    <n v="395"/>
    <n v="6"/>
    <n v="1.431071526"/>
    <n v="0.97892844800000001"/>
    <b v="0"/>
    <n v="0.14738348300000001"/>
    <n v="1"/>
    <s v="Aug"/>
    <n v="2026"/>
    <s v="Q3"/>
  </r>
  <r>
    <n v="592"/>
    <x v="591"/>
    <x v="2"/>
    <n v="4532"/>
    <n v="2418"/>
    <n v="3068"/>
    <n v="1091"/>
    <n v="2952"/>
    <n v="0.46584994800000001"/>
    <n v="1.9898430300000001"/>
    <n v="2500"/>
    <n v="2547"/>
    <n v="3"/>
    <n v="1.4861047469999999"/>
    <n v="0.83741756899999997"/>
    <b v="0"/>
    <n v="0.90474243700000001"/>
    <n v="1"/>
    <s v="Aug"/>
    <n v="2026"/>
    <s v="Q3"/>
  </r>
  <r>
    <n v="593"/>
    <x v="592"/>
    <x v="2"/>
    <n v="1216"/>
    <n v="3468"/>
    <n v="3892"/>
    <n v="1310"/>
    <n v="956"/>
    <n v="0.30843002200000003"/>
    <n v="1.095998716"/>
    <n v="3924"/>
    <n v="3045"/>
    <n v="3"/>
    <n v="0.87334287300000002"/>
    <n v="0.96161169300000005"/>
    <b v="0"/>
    <n v="0.22690106299999999"/>
    <n v="1"/>
    <s v="Aug"/>
    <n v="2026"/>
    <s v="Q3"/>
  </r>
  <r>
    <n v="594"/>
    <x v="593"/>
    <x v="0"/>
    <n v="621"/>
    <n v="1370"/>
    <n v="2235"/>
    <n v="2283"/>
    <n v="807"/>
    <n v="0.58702407099999998"/>
    <n v="1.6634986140000001"/>
    <n v="3759"/>
    <n v="3656"/>
    <n v="7"/>
    <n v="1.771139671"/>
    <n v="0.87731445299999999"/>
    <b v="0"/>
    <n v="0.10527391699999999"/>
    <n v="1"/>
    <s v="Aug"/>
    <n v="2026"/>
    <s v="Q3"/>
  </r>
  <r>
    <n v="595"/>
    <x v="594"/>
    <x v="0"/>
    <n v="1824"/>
    <n v="1919"/>
    <n v="1199"/>
    <n v="581"/>
    <n v="1728"/>
    <n v="0.72689864599999998"/>
    <n v="1.762515627"/>
    <n v="2306"/>
    <n v="1311"/>
    <n v="5"/>
    <n v="1.2687906149999999"/>
    <n v="0.99993442399999999"/>
    <b v="0"/>
    <n v="0.35118560900000001"/>
    <n v="1"/>
    <s v="Aug"/>
    <n v="2026"/>
    <s v="Q3"/>
  </r>
  <r>
    <n v="596"/>
    <x v="595"/>
    <x v="0"/>
    <n v="2160"/>
    <n v="2484"/>
    <n v="3390"/>
    <n v="4445"/>
    <n v="525"/>
    <n v="0.33864945899999999"/>
    <n v="1.5148129340000001"/>
    <n v="2674"/>
    <n v="1182"/>
    <n v="6"/>
    <n v="1.9904222920000001"/>
    <n v="0.99650543599999997"/>
    <b v="0"/>
    <n v="0.41986917400000001"/>
    <n v="1"/>
    <s v="Aug"/>
    <n v="2026"/>
    <s v="Q3"/>
  </r>
  <r>
    <n v="597"/>
    <x v="596"/>
    <x v="3"/>
    <n v="2430"/>
    <n v="1273"/>
    <n v="3717"/>
    <n v="2908"/>
    <n v="3778"/>
    <n v="0.43670553899999998"/>
    <n v="2.058033655"/>
    <n v="3004"/>
    <n v="1618"/>
    <n v="4"/>
    <n v="1.965071309"/>
    <n v="0.97387328200000001"/>
    <b v="0"/>
    <n v="0.47506132499999998"/>
    <n v="1"/>
    <s v="Aug"/>
    <n v="2026"/>
    <s v="Q3"/>
  </r>
  <r>
    <n v="598"/>
    <x v="597"/>
    <x v="0"/>
    <n v="1672"/>
    <n v="4461"/>
    <n v="722"/>
    <n v="2876"/>
    <n v="1109"/>
    <n v="0.76253167499999996"/>
    <n v="2.5992368940000001"/>
    <n v="763"/>
    <n v="543"/>
    <n v="9"/>
    <n v="1.065325877"/>
    <n v="0.93480410400000002"/>
    <b v="1"/>
    <n v="0.32011447300000001"/>
    <n v="1"/>
    <s v="Aug"/>
    <n v="2026"/>
    <s v="Q3"/>
  </r>
  <r>
    <n v="599"/>
    <x v="598"/>
    <x v="1"/>
    <n v="1235"/>
    <n v="2913"/>
    <n v="991"/>
    <n v="3657"/>
    <n v="3025"/>
    <n v="0.36547013099999998"/>
    <n v="2.5293800580000001"/>
    <n v="4351"/>
    <n v="1357"/>
    <n v="6"/>
    <n v="0.90407035000000002"/>
    <n v="0.84186145999999995"/>
    <b v="0"/>
    <n v="0.23078495500000001"/>
    <n v="1"/>
    <s v="Aug"/>
    <n v="2026"/>
    <s v="Q3"/>
  </r>
  <r>
    <n v="600"/>
    <x v="599"/>
    <x v="0"/>
    <n v="2359"/>
    <n v="618"/>
    <n v="3107"/>
    <n v="1724"/>
    <n v="2723"/>
    <n v="0.66929185499999999"/>
    <n v="2.5306979310000002"/>
    <n v="4176"/>
    <n v="2757"/>
    <n v="3"/>
    <n v="1.0198673309999999"/>
    <n v="0.81970009300000002"/>
    <b v="0"/>
    <n v="0.46054783300000002"/>
    <n v="1"/>
    <s v="Aug"/>
    <n v="2026"/>
    <s v="Q3"/>
  </r>
  <r>
    <n v="601"/>
    <x v="600"/>
    <x v="3"/>
    <n v="4230"/>
    <n v="4305"/>
    <n v="3632"/>
    <n v="1832"/>
    <n v="2748"/>
    <n v="0.330403112"/>
    <n v="1.956301042"/>
    <n v="612"/>
    <n v="2145"/>
    <n v="2"/>
    <n v="0.53056709300000005"/>
    <n v="0.93060529000000003"/>
    <b v="0"/>
    <n v="0.84300899399999996"/>
    <n v="1"/>
    <s v="Aug"/>
    <n v="2026"/>
    <s v="Q3"/>
  </r>
  <r>
    <n v="602"/>
    <x v="601"/>
    <x v="1"/>
    <n v="776"/>
    <n v="4421"/>
    <n v="1681"/>
    <n v="2027"/>
    <n v="3739"/>
    <n v="0.44877379000000001"/>
    <n v="1.772041084"/>
    <n v="2472"/>
    <n v="2784"/>
    <n v="7"/>
    <n v="1.916615524"/>
    <n v="0.90518768400000005"/>
    <b v="0"/>
    <n v="0.13695829900000001"/>
    <n v="1"/>
    <s v="Aug"/>
    <n v="2026"/>
    <s v="Q3"/>
  </r>
  <r>
    <n v="603"/>
    <x v="602"/>
    <x v="0"/>
    <n v="2038"/>
    <n v="2369"/>
    <n v="961"/>
    <n v="4059"/>
    <n v="1739"/>
    <n v="0.70765583600000004"/>
    <n v="1.2427700290000001"/>
    <n v="485"/>
    <n v="498"/>
    <n v="1"/>
    <n v="1.8343969410000001"/>
    <n v="0.90853891899999994"/>
    <b v="0"/>
    <n v="0.39493049899999999"/>
    <n v="1"/>
    <s v="Aug"/>
    <n v="2026"/>
    <s v="Q3"/>
  </r>
  <r>
    <n v="604"/>
    <x v="603"/>
    <x v="0"/>
    <n v="2108"/>
    <n v="509"/>
    <n v="3664"/>
    <n v="629"/>
    <n v="304"/>
    <n v="0.40377778399999997"/>
    <n v="2.0201134650000001"/>
    <n v="3206"/>
    <n v="3027"/>
    <n v="9"/>
    <n v="1.3760991060000001"/>
    <n v="0.99855786300000005"/>
    <b v="0"/>
    <n v="0.40923957500000002"/>
    <n v="1"/>
    <s v="Aug"/>
    <n v="2026"/>
    <s v="Q3"/>
  </r>
  <r>
    <n v="605"/>
    <x v="604"/>
    <x v="1"/>
    <n v="685"/>
    <n v="1525"/>
    <n v="1962"/>
    <n v="347"/>
    <n v="3588"/>
    <n v="0.73042289000000005"/>
    <n v="1.951945574"/>
    <n v="4817"/>
    <n v="1099"/>
    <n v="9"/>
    <n v="0.81425018199999999"/>
    <n v="0.954083915"/>
    <b v="0"/>
    <n v="0.1183565"/>
    <n v="0"/>
    <s v="Aug"/>
    <n v="2026"/>
    <s v="Q3"/>
  </r>
  <r>
    <n v="606"/>
    <x v="605"/>
    <x v="3"/>
    <n v="3476"/>
    <n v="3924"/>
    <n v="1252"/>
    <n v="3778"/>
    <n v="3831"/>
    <n v="0.50374501100000002"/>
    <n v="1.451036598"/>
    <n v="1972"/>
    <n v="962"/>
    <n v="4"/>
    <n v="0.62521166299999997"/>
    <n v="0.95943798000000002"/>
    <b v="0"/>
    <n v="0.68887980400000004"/>
    <n v="1"/>
    <s v="Aug"/>
    <n v="2026"/>
    <s v="Q3"/>
  </r>
  <r>
    <n v="607"/>
    <x v="606"/>
    <x v="0"/>
    <n v="3316"/>
    <n v="2787"/>
    <n v="3150"/>
    <n v="3727"/>
    <n v="455"/>
    <n v="0.59905542899999997"/>
    <n v="0.68030149699999998"/>
    <n v="4159"/>
    <n v="2565"/>
    <n v="7"/>
    <n v="1.1321782140000001"/>
    <n v="0.824519856"/>
    <b v="0"/>
    <n v="0.65617334400000005"/>
    <n v="1"/>
    <s v="Aug"/>
    <n v="2026"/>
    <s v="Q3"/>
  </r>
  <r>
    <n v="608"/>
    <x v="607"/>
    <x v="2"/>
    <n v="2548"/>
    <n v="2033"/>
    <n v="2608"/>
    <n v="3481"/>
    <n v="3220"/>
    <n v="0.43385078700000002"/>
    <n v="2.1116040489999999"/>
    <n v="4431"/>
    <n v="1285"/>
    <n v="9"/>
    <n v="0.54042898399999995"/>
    <n v="0.95798149499999996"/>
    <b v="0"/>
    <n v="0.49918233899999997"/>
    <n v="1"/>
    <s v="Aug"/>
    <n v="2026"/>
    <s v="Q3"/>
  </r>
  <r>
    <n v="609"/>
    <x v="608"/>
    <x v="2"/>
    <n v="2456"/>
    <n v="956"/>
    <n v="3261"/>
    <n v="1941"/>
    <n v="2355"/>
    <n v="0.47841508399999999"/>
    <n v="1.310442401"/>
    <n v="122"/>
    <n v="452"/>
    <n v="2"/>
    <n v="0.61763258799999998"/>
    <n v="0.85665614899999998"/>
    <b v="0"/>
    <n v="0.48037612400000002"/>
    <n v="1"/>
    <s v="Sep"/>
    <n v="2026"/>
    <s v="Q3"/>
  </r>
  <r>
    <n v="610"/>
    <x v="609"/>
    <x v="1"/>
    <n v="2679"/>
    <n v="887"/>
    <n v="2792"/>
    <n v="3218"/>
    <n v="3953"/>
    <n v="0.49762537299999998"/>
    <n v="1.464722466"/>
    <n v="2869"/>
    <n v="3528"/>
    <n v="3"/>
    <n v="1.428827326"/>
    <n v="0.97358413899999996"/>
    <b v="0"/>
    <n v="0.52596075200000003"/>
    <n v="1"/>
    <s v="Sep"/>
    <n v="2026"/>
    <s v="Q3"/>
  </r>
  <r>
    <n v="611"/>
    <x v="610"/>
    <x v="0"/>
    <n v="4597"/>
    <n v="3387"/>
    <n v="1800"/>
    <n v="2270"/>
    <n v="334"/>
    <n v="0.540403572"/>
    <n v="2.8510944540000001"/>
    <n v="1830"/>
    <n v="1928"/>
    <n v="8"/>
    <n v="1.4114544330000001"/>
    <n v="0.89432789800000001"/>
    <b v="0"/>
    <n v="0.91802943599999998"/>
    <n v="1"/>
    <s v="Sep"/>
    <n v="2026"/>
    <s v="Q3"/>
  </r>
  <r>
    <n v="612"/>
    <x v="611"/>
    <x v="3"/>
    <n v="2147"/>
    <n v="3590"/>
    <n v="563"/>
    <n v="2137"/>
    <n v="1330"/>
    <n v="0.59741676600000004"/>
    <n v="0.80187419500000001"/>
    <n v="1597"/>
    <n v="3158"/>
    <n v="3"/>
    <n v="1.978309246"/>
    <n v="0.86999448499999998"/>
    <b v="0"/>
    <n v="0.41721177399999998"/>
    <n v="1"/>
    <s v="Sep"/>
    <n v="2026"/>
    <s v="Q3"/>
  </r>
  <r>
    <n v="613"/>
    <x v="612"/>
    <x v="1"/>
    <n v="2253"/>
    <n v="3313"/>
    <n v="1312"/>
    <n v="2260"/>
    <n v="3475"/>
    <n v="0.41487510399999999"/>
    <n v="1.957068421"/>
    <n v="3342"/>
    <n v="1739"/>
    <n v="2"/>
    <n v="0.56657618799999998"/>
    <n v="0.90049887299999998"/>
    <b v="0"/>
    <n v="0.43887980399999998"/>
    <n v="1"/>
    <s v="Sep"/>
    <n v="2026"/>
    <s v="Q3"/>
  </r>
  <r>
    <n v="614"/>
    <x v="613"/>
    <x v="0"/>
    <n v="252"/>
    <n v="3793"/>
    <n v="2995"/>
    <n v="3868"/>
    <n v="2362"/>
    <n v="0.64255383899999996"/>
    <n v="2.4270656920000002"/>
    <n v="1684"/>
    <n v="868"/>
    <n v="8"/>
    <n v="1.1416744510000001"/>
    <n v="0.82512224000000001"/>
    <b v="0"/>
    <n v="2.9844644E-2"/>
    <n v="0"/>
    <s v="Sep"/>
    <n v="2026"/>
    <s v="Q3"/>
  </r>
  <r>
    <n v="615"/>
    <x v="614"/>
    <x v="1"/>
    <n v="2475"/>
    <n v="3975"/>
    <n v="1412"/>
    <n v="3528"/>
    <n v="897"/>
    <n v="0.58526692499999999"/>
    <n v="1.2425455540000001"/>
    <n v="3125"/>
    <n v="2982"/>
    <n v="2"/>
    <n v="1.037374217"/>
    <n v="0.98454433799999996"/>
    <b v="0"/>
    <n v="0.48426001600000002"/>
    <n v="1"/>
    <s v="Sep"/>
    <n v="2026"/>
    <s v="Q3"/>
  </r>
  <r>
    <n v="616"/>
    <x v="615"/>
    <x v="2"/>
    <n v="4159"/>
    <n v="3789"/>
    <n v="1673"/>
    <n v="4132"/>
    <n v="2507"/>
    <n v="0.40409334800000002"/>
    <n v="2.2624887130000002"/>
    <n v="503"/>
    <n v="705"/>
    <n v="2"/>
    <n v="0.98681156199999998"/>
    <n v="0.91535674"/>
    <b v="0"/>
    <n v="0.82849550299999997"/>
    <n v="1"/>
    <s v="Sep"/>
    <n v="2026"/>
    <s v="Q3"/>
  </r>
  <r>
    <n v="617"/>
    <x v="616"/>
    <x v="2"/>
    <n v="127"/>
    <n v="846"/>
    <n v="622"/>
    <n v="1411"/>
    <n v="2335"/>
    <n v="0.52053321900000005"/>
    <n v="2.802284276"/>
    <n v="3850"/>
    <n v="716"/>
    <n v="5"/>
    <n v="1.592931646"/>
    <n v="0.96750644100000005"/>
    <b v="0"/>
    <n v="4.292723E-3"/>
    <n v="1"/>
    <s v="Sep"/>
    <n v="2026"/>
    <s v="Q3"/>
  </r>
  <r>
    <n v="618"/>
    <x v="617"/>
    <x v="1"/>
    <n v="2791"/>
    <n v="4485"/>
    <n v="3504"/>
    <n v="443"/>
    <n v="2779"/>
    <n v="0.48118825199999998"/>
    <n v="2.0605235789999998"/>
    <n v="1478"/>
    <n v="2001"/>
    <n v="7"/>
    <n v="1.271853721"/>
    <n v="0.92667049899999998"/>
    <b v="0"/>
    <n v="0.548855274"/>
    <n v="1"/>
    <s v="Sep"/>
    <n v="2026"/>
    <s v="Q3"/>
  </r>
  <r>
    <n v="619"/>
    <x v="618"/>
    <x v="3"/>
    <n v="4346"/>
    <n v="2163"/>
    <n v="1664"/>
    <n v="2061"/>
    <n v="2092"/>
    <n v="0.29561604899999999"/>
    <n v="2.440828464"/>
    <n v="4541"/>
    <n v="3774"/>
    <n v="7"/>
    <n v="1.4992652319999999"/>
    <n v="0.95504154799999996"/>
    <b v="0"/>
    <n v="0.86672117699999995"/>
    <n v="1"/>
    <s v="Sep"/>
    <n v="2026"/>
    <s v="Q3"/>
  </r>
  <r>
    <n v="620"/>
    <x v="619"/>
    <x v="2"/>
    <n v="3865"/>
    <n v="3776"/>
    <n v="2365"/>
    <n v="3632"/>
    <n v="1490"/>
    <n v="0.27407736599999999"/>
    <n v="0.99004410099999995"/>
    <n v="1565"/>
    <n v="3089"/>
    <n v="2"/>
    <n v="1.452325112"/>
    <n v="0.86829747300000004"/>
    <b v="0"/>
    <n v="0.76839738300000004"/>
    <n v="1"/>
    <s v="Sep"/>
    <n v="2026"/>
    <s v="Q3"/>
  </r>
  <r>
    <n v="621"/>
    <x v="620"/>
    <x v="3"/>
    <n v="3661"/>
    <n v="3861"/>
    <n v="2268"/>
    <n v="3783"/>
    <n v="525"/>
    <n v="0.76712159199999996"/>
    <n v="1.404164228"/>
    <n v="2052"/>
    <n v="581"/>
    <n v="2"/>
    <n v="0.87514522400000005"/>
    <n v="0.98256574100000005"/>
    <b v="0"/>
    <n v="0.726696648"/>
    <n v="1"/>
    <s v="Sep"/>
    <n v="2026"/>
    <s v="Q3"/>
  </r>
  <r>
    <n v="622"/>
    <x v="621"/>
    <x v="0"/>
    <n v="4180"/>
    <n v="1402"/>
    <n v="353"/>
    <n v="4753"/>
    <n v="305"/>
    <n v="0.34120075500000002"/>
    <n v="2.1650277500000001"/>
    <n v="329"/>
    <n v="1978"/>
    <n v="1"/>
    <n v="1.5206532639999999"/>
    <n v="0.94725065799999997"/>
    <b v="1"/>
    <n v="0.83278822600000002"/>
    <n v="1"/>
    <s v="Sep"/>
    <n v="2026"/>
    <s v="Q3"/>
  </r>
  <r>
    <n v="623"/>
    <x v="622"/>
    <x v="1"/>
    <n v="4029"/>
    <n v="3958"/>
    <n v="3622"/>
    <n v="2058"/>
    <n v="1041"/>
    <n v="0.58557725000000005"/>
    <n v="2.4069448850000001"/>
    <n v="790"/>
    <n v="1401"/>
    <n v="3"/>
    <n v="1.816230185"/>
    <n v="0.80094427499999998"/>
    <b v="0"/>
    <n v="0.80192150399999995"/>
    <n v="1"/>
    <s v="Sep"/>
    <n v="2026"/>
    <s v="Q3"/>
  </r>
  <r>
    <n v="624"/>
    <x v="623"/>
    <x v="2"/>
    <n v="249"/>
    <n v="2068"/>
    <n v="2947"/>
    <n v="3514"/>
    <n v="2454"/>
    <n v="0.55454814299999999"/>
    <n v="0.52864165299999999"/>
    <n v="4320"/>
    <n v="1008"/>
    <n v="4"/>
    <n v="1.4947140430000001"/>
    <n v="0.93966576800000001"/>
    <b v="0"/>
    <n v="2.9231397999999999E-2"/>
    <n v="1"/>
    <s v="Sep"/>
    <n v="2026"/>
    <s v="Q3"/>
  </r>
  <r>
    <n v="625"/>
    <x v="624"/>
    <x v="2"/>
    <n v="2378"/>
    <n v="2649"/>
    <n v="2869"/>
    <n v="3516"/>
    <n v="2496"/>
    <n v="0.24032210800000001"/>
    <n v="2.3036863630000002"/>
    <n v="2346"/>
    <n v="2480"/>
    <n v="2"/>
    <n v="1.359044336"/>
    <n v="0.85542835100000003"/>
    <b v="0"/>
    <n v="0.46443172500000002"/>
    <n v="1"/>
    <s v="Sep"/>
    <n v="2026"/>
    <s v="Q3"/>
  </r>
  <r>
    <n v="626"/>
    <x v="625"/>
    <x v="1"/>
    <n v="737"/>
    <n v="2198"/>
    <n v="2367"/>
    <n v="2372"/>
    <n v="1202"/>
    <n v="0.78200741600000001"/>
    <n v="2.8268623069999999"/>
    <n v="1477"/>
    <n v="1340"/>
    <n v="8"/>
    <n v="0.95049926200000001"/>
    <n v="0.94278641699999999"/>
    <b v="0"/>
    <n v="0.12898609999999999"/>
    <n v="1"/>
    <s v="Sep"/>
    <n v="2026"/>
    <s v="Q3"/>
  </r>
  <r>
    <n v="627"/>
    <x v="626"/>
    <x v="2"/>
    <n v="1799"/>
    <n v="827"/>
    <n v="3138"/>
    <n v="964"/>
    <n v="624"/>
    <n v="0.78140398600000005"/>
    <n v="1.6365020219999999"/>
    <n v="1239"/>
    <n v="419"/>
    <n v="2"/>
    <n v="0.71027278500000002"/>
    <n v="0.89280243699999995"/>
    <b v="0"/>
    <n v="0.34607522499999999"/>
    <n v="1"/>
    <s v="Sep"/>
    <n v="2026"/>
    <s v="Q3"/>
  </r>
  <r>
    <n v="628"/>
    <x v="627"/>
    <x v="2"/>
    <n v="3627"/>
    <n v="1159"/>
    <n v="3715"/>
    <n v="4621"/>
    <n v="3921"/>
    <n v="0.206764161"/>
    <n v="0.55554292500000002"/>
    <n v="3800"/>
    <n v="3543"/>
    <n v="4"/>
    <n v="0.51387121300000005"/>
    <n v="0.98152544600000002"/>
    <b v="0"/>
    <n v="0.71974652500000003"/>
    <n v="1"/>
    <s v="Sep"/>
    <n v="2026"/>
    <s v="Q3"/>
  </r>
  <r>
    <n v="629"/>
    <x v="628"/>
    <x v="2"/>
    <n v="4751"/>
    <n v="746"/>
    <n v="2626"/>
    <n v="3438"/>
    <n v="2770"/>
    <n v="0.71171295999999995"/>
    <n v="1.8055995659999999"/>
    <n v="3970"/>
    <n v="3984"/>
    <n v="7"/>
    <n v="0.97387894900000005"/>
    <n v="0.95876519400000004"/>
    <b v="0"/>
    <n v="0.94950940299999997"/>
    <n v="1"/>
    <s v="Sep"/>
    <n v="2026"/>
    <s v="Q3"/>
  </r>
  <r>
    <n v="630"/>
    <x v="629"/>
    <x v="3"/>
    <n v="4542"/>
    <n v="2652"/>
    <n v="2790"/>
    <n v="4769"/>
    <n v="2374"/>
    <n v="0.78886575999999997"/>
    <n v="1.2490734809999999"/>
    <n v="2097"/>
    <n v="991"/>
    <n v="7"/>
    <n v="1.2611187660000001"/>
    <n v="0.86988098400000002"/>
    <b v="0"/>
    <n v="0.90678658999999995"/>
    <n v="1"/>
    <s v="Sep"/>
    <n v="2026"/>
    <s v="Q3"/>
  </r>
  <r>
    <n v="631"/>
    <x v="630"/>
    <x v="1"/>
    <n v="4300"/>
    <n v="2366"/>
    <n v="1096"/>
    <n v="1729"/>
    <n v="1640"/>
    <n v="0.54806612499999996"/>
    <n v="1.9354577070000001"/>
    <n v="4254"/>
    <n v="2230"/>
    <n v="5"/>
    <n v="0.56608127100000005"/>
    <n v="0.98892923099999996"/>
    <b v="0"/>
    <n v="0.85731807000000004"/>
    <n v="1"/>
    <s v="Sep"/>
    <n v="2026"/>
    <s v="Q3"/>
  </r>
  <r>
    <n v="632"/>
    <x v="631"/>
    <x v="3"/>
    <n v="2428"/>
    <n v="1477"/>
    <n v="2171"/>
    <n v="4518"/>
    <n v="2609"/>
    <n v="0.44605794399999998"/>
    <n v="1.2045260840000001"/>
    <n v="3690"/>
    <n v="1495"/>
    <n v="8"/>
    <n v="1.117850773"/>
    <n v="0.91424016100000005"/>
    <b v="0"/>
    <n v="0.47465249399999998"/>
    <n v="0"/>
    <s v="Sep"/>
    <n v="2026"/>
    <s v="Q3"/>
  </r>
  <r>
    <n v="633"/>
    <x v="632"/>
    <x v="1"/>
    <n v="2330"/>
    <n v="3414"/>
    <n v="3992"/>
    <n v="1260"/>
    <n v="1723"/>
    <n v="0.44800833600000001"/>
    <n v="2.7946906349999998"/>
    <n v="3869"/>
    <n v="253"/>
    <n v="6"/>
    <n v="1.6368932970000001"/>
    <n v="0.95327607299999995"/>
    <b v="0"/>
    <n v="0.454619787"/>
    <n v="1"/>
    <s v="Sep"/>
    <n v="2026"/>
    <s v="Q3"/>
  </r>
  <r>
    <n v="634"/>
    <x v="633"/>
    <x v="2"/>
    <n v="1128"/>
    <n v="4252"/>
    <n v="240"/>
    <n v="1107"/>
    <n v="3298"/>
    <n v="0.412576367"/>
    <n v="0.67854138500000005"/>
    <n v="1243"/>
    <n v="2854"/>
    <n v="4"/>
    <n v="1.5119005000000001"/>
    <n v="0.808390198"/>
    <b v="0"/>
    <n v="0.20891251"/>
    <n v="1"/>
    <s v="Sep"/>
    <n v="2026"/>
    <s v="Q3"/>
  </r>
  <r>
    <n v="635"/>
    <x v="634"/>
    <x v="3"/>
    <n v="144"/>
    <n v="3018"/>
    <n v="2532"/>
    <n v="723"/>
    <n v="3998"/>
    <n v="0.76338663200000001"/>
    <n v="2.9790843759999999"/>
    <n v="343"/>
    <n v="3067"/>
    <n v="1"/>
    <n v="1.469213876"/>
    <n v="0.89148245500000001"/>
    <b v="0"/>
    <n v="7.7677839999999998E-3"/>
    <n v="1"/>
    <s v="Sep"/>
    <n v="2026"/>
    <s v="Q3"/>
  </r>
  <r>
    <n v="636"/>
    <x v="635"/>
    <x v="2"/>
    <n v="208"/>
    <n v="599"/>
    <n v="1016"/>
    <n v="3845"/>
    <n v="3208"/>
    <n v="0.40991750100000002"/>
    <n v="1.8577411109999999"/>
    <n v="3639"/>
    <n v="2766"/>
    <n v="4"/>
    <n v="0.82455956600000002"/>
    <n v="0.92365773600000001"/>
    <b v="0"/>
    <n v="2.0850368000000001E-2"/>
    <n v="1"/>
    <s v="Sep"/>
    <n v="2026"/>
    <s v="Q3"/>
  </r>
  <r>
    <n v="637"/>
    <x v="636"/>
    <x v="0"/>
    <n v="1839"/>
    <n v="2467"/>
    <n v="2247"/>
    <n v="2372"/>
    <n v="199"/>
    <n v="0.65534782400000002"/>
    <n v="2.0347676859999999"/>
    <n v="1061"/>
    <n v="732"/>
    <n v="9"/>
    <n v="0.90751494499999996"/>
    <n v="0.97683613300000005"/>
    <b v="0"/>
    <n v="0.35425183999999998"/>
    <n v="1"/>
    <s v="Sep"/>
    <n v="2026"/>
    <s v="Q3"/>
  </r>
  <r>
    <n v="638"/>
    <x v="637"/>
    <x v="1"/>
    <n v="2123"/>
    <n v="3892"/>
    <n v="3839"/>
    <n v="775"/>
    <n v="1715"/>
    <n v="0.291840039"/>
    <n v="1.880109917"/>
    <n v="782"/>
    <n v="2256"/>
    <n v="3"/>
    <n v="0.99545793999999999"/>
    <n v="0.93403138399999996"/>
    <b v="0"/>
    <n v="0.41230580500000003"/>
    <n v="1"/>
    <s v="Sep"/>
    <n v="2026"/>
    <s v="Q3"/>
  </r>
  <r>
    <n v="639"/>
    <x v="638"/>
    <x v="0"/>
    <n v="4961"/>
    <n v="3269"/>
    <n v="705"/>
    <n v="3656"/>
    <n v="3892"/>
    <n v="0.44308621599999998"/>
    <n v="0.778561858"/>
    <n v="1556"/>
    <n v="1043"/>
    <n v="3"/>
    <n v="1.6685857150000001"/>
    <n v="0.82073669999999999"/>
    <b v="0"/>
    <n v="0.99243663100000001"/>
    <n v="1"/>
    <s v="Oct"/>
    <n v="2026"/>
    <s v="Q4"/>
  </r>
  <r>
    <n v="640"/>
    <x v="639"/>
    <x v="1"/>
    <n v="2778"/>
    <n v="2502"/>
    <n v="1232"/>
    <n v="2506"/>
    <n v="2547"/>
    <n v="0.67570197399999998"/>
    <n v="2.0736958900000002"/>
    <n v="3255"/>
    <n v="2252"/>
    <n v="5"/>
    <n v="0.52316802900000003"/>
    <n v="0.80293240399999999"/>
    <b v="0"/>
    <n v="0.54619787399999997"/>
    <n v="1"/>
    <s v="Oct"/>
    <n v="2026"/>
    <s v="Q4"/>
  </r>
  <r>
    <n v="641"/>
    <x v="640"/>
    <x v="0"/>
    <n v="4073"/>
    <n v="4321"/>
    <n v="3533"/>
    <n v="3375"/>
    <n v="1691"/>
    <n v="0.42958692100000001"/>
    <n v="2.2100052809999999"/>
    <n v="524"/>
    <n v="2054"/>
    <n v="3"/>
    <n v="1.9508560770000001"/>
    <n v="0.87628100799999997"/>
    <b v="0"/>
    <n v="0.81091578099999995"/>
    <n v="1"/>
    <s v="Oct"/>
    <n v="2026"/>
    <s v="Q4"/>
  </r>
  <r>
    <n v="642"/>
    <x v="641"/>
    <x v="0"/>
    <n v="4818"/>
    <n v="4123"/>
    <n v="3841"/>
    <n v="3839"/>
    <n v="240"/>
    <n v="0.57686006099999998"/>
    <n v="1.429234766"/>
    <n v="2768"/>
    <n v="121"/>
    <n v="8"/>
    <n v="1.4093462059999999"/>
    <n v="0.94439425399999999"/>
    <b v="0"/>
    <n v="0.96320523300000005"/>
    <n v="1"/>
    <s v="Oct"/>
    <n v="2026"/>
    <s v="Q4"/>
  </r>
  <r>
    <n v="643"/>
    <x v="642"/>
    <x v="1"/>
    <n v="1348"/>
    <n v="2701"/>
    <n v="1963"/>
    <n v="4788"/>
    <n v="3248"/>
    <n v="0.34331290199999998"/>
    <n v="1.534841889"/>
    <n v="4938"/>
    <n v="1224"/>
    <n v="1"/>
    <n v="0.93371415700000004"/>
    <n v="0.83538180200000001"/>
    <b v="0"/>
    <n v="0.253883892"/>
    <n v="1"/>
    <s v="Oct"/>
    <n v="2026"/>
    <s v="Q4"/>
  </r>
  <r>
    <n v="644"/>
    <x v="643"/>
    <x v="2"/>
    <n v="2340"/>
    <n v="1382"/>
    <n v="1467"/>
    <n v="2507"/>
    <n v="3663"/>
    <n v="0.67740312000000003"/>
    <n v="0.62018022399999995"/>
    <n v="1965"/>
    <n v="3574"/>
    <n v="4"/>
    <n v="0.63939267600000005"/>
    <n v="0.89046958399999998"/>
    <b v="0"/>
    <n v="0.45666394100000002"/>
    <n v="1"/>
    <s v="Oct"/>
    <n v="2026"/>
    <s v="Q4"/>
  </r>
  <r>
    <n v="645"/>
    <x v="644"/>
    <x v="0"/>
    <n v="4881"/>
    <n v="860"/>
    <n v="3042"/>
    <n v="4656"/>
    <n v="1610"/>
    <n v="0.414288029"/>
    <n v="2.9124323529999998"/>
    <n v="3113"/>
    <n v="1865"/>
    <n v="5"/>
    <n v="1.643834397"/>
    <n v="0.90644889500000003"/>
    <b v="0"/>
    <n v="0.97608340100000002"/>
    <n v="1"/>
    <s v="Oct"/>
    <n v="2026"/>
    <s v="Q4"/>
  </r>
  <r>
    <n v="646"/>
    <x v="645"/>
    <x v="3"/>
    <n v="1571"/>
    <n v="3741"/>
    <n v="2149"/>
    <n v="4690"/>
    <n v="721"/>
    <n v="0.28694599900000001"/>
    <n v="2.5952202089999998"/>
    <n v="789"/>
    <n v="2720"/>
    <n v="9"/>
    <n v="0.81148394499999998"/>
    <n v="0.91364279400000004"/>
    <b v="0"/>
    <n v="0.29946852000000002"/>
    <n v="1"/>
    <s v="Oct"/>
    <n v="2026"/>
    <s v="Q4"/>
  </r>
  <r>
    <n v="647"/>
    <x v="646"/>
    <x v="1"/>
    <n v="3588"/>
    <n v="3757"/>
    <n v="3011"/>
    <n v="3473"/>
    <n v="2766"/>
    <n v="0.60029681300000004"/>
    <n v="2.177751599"/>
    <n v="3874"/>
    <n v="1761"/>
    <n v="8"/>
    <n v="0.84172971799999996"/>
    <n v="0.86620538300000005"/>
    <b v="0"/>
    <n v="0.71177432500000004"/>
    <n v="1"/>
    <s v="Oct"/>
    <n v="2026"/>
    <s v="Q4"/>
  </r>
  <r>
    <n v="648"/>
    <x v="647"/>
    <x v="1"/>
    <n v="469"/>
    <n v="3266"/>
    <n v="1562"/>
    <n v="803"/>
    <n v="2429"/>
    <n v="0.643418991"/>
    <n v="2.064323307"/>
    <n v="619"/>
    <n v="903"/>
    <n v="5"/>
    <n v="1.664797595"/>
    <n v="0.83906071900000001"/>
    <b v="0"/>
    <n v="7.4202779999999996E-2"/>
    <n v="1"/>
    <s v="Oct"/>
    <n v="2026"/>
    <s v="Q4"/>
  </r>
  <r>
    <n v="649"/>
    <x v="648"/>
    <x v="0"/>
    <n v="2311"/>
    <n v="896"/>
    <n v="2459"/>
    <n v="1071"/>
    <n v="1909"/>
    <n v="0.30906750300000002"/>
    <n v="2.244729403"/>
    <n v="4613"/>
    <n v="1165"/>
    <n v="5"/>
    <n v="1.7096015250000001"/>
    <n v="0.83777992199999995"/>
    <b v="0"/>
    <n v="0.450735895"/>
    <n v="1"/>
    <s v="Oct"/>
    <n v="2026"/>
    <s v="Q4"/>
  </r>
  <r>
    <n v="650"/>
    <x v="649"/>
    <x v="3"/>
    <n v="4880"/>
    <n v="4335"/>
    <n v="1797"/>
    <n v="1251"/>
    <n v="2192"/>
    <n v="0.51433063099999998"/>
    <n v="0.92427711999999995"/>
    <n v="473"/>
    <n v="3393"/>
    <n v="3"/>
    <n v="1.303769271"/>
    <n v="0.93520575800000005"/>
    <b v="0"/>
    <n v="0.975878986"/>
    <n v="1"/>
    <s v="Oct"/>
    <n v="2026"/>
    <s v="Q4"/>
  </r>
  <r>
    <n v="651"/>
    <x v="650"/>
    <x v="1"/>
    <n v="2415"/>
    <n v="1491"/>
    <n v="1786"/>
    <n v="1590"/>
    <n v="971"/>
    <n v="0.56927567000000001"/>
    <n v="2.325488016"/>
    <n v="2467"/>
    <n v="2745"/>
    <n v="9"/>
    <n v="0.72557186799999995"/>
    <n v="0.86981715599999998"/>
    <b v="1"/>
    <n v="0.471995094"/>
    <n v="0"/>
    <s v="Oct"/>
    <n v="2026"/>
    <s v="Q4"/>
  </r>
  <r>
    <n v="652"/>
    <x v="651"/>
    <x v="2"/>
    <n v="3080"/>
    <n v="3396"/>
    <n v="3419"/>
    <n v="4894"/>
    <n v="3355"/>
    <n v="0.58171363499999995"/>
    <n v="2.9802981970000002"/>
    <n v="4371"/>
    <n v="134"/>
    <n v="9"/>
    <n v="1.82729783"/>
    <n v="0.83906728600000002"/>
    <b v="0"/>
    <n v="0.60793131600000005"/>
    <n v="1"/>
    <s v="Oct"/>
    <n v="2026"/>
    <s v="Q4"/>
  </r>
  <r>
    <n v="653"/>
    <x v="652"/>
    <x v="2"/>
    <n v="2413"/>
    <n v="1010"/>
    <n v="3171"/>
    <n v="719"/>
    <n v="1218"/>
    <n v="0.29050067200000002"/>
    <n v="1.379735052"/>
    <n v="4737"/>
    <n v="2516"/>
    <n v="9"/>
    <n v="1.5761971539999999"/>
    <n v="0.96714001999999999"/>
    <b v="0"/>
    <n v="0.47158626300000001"/>
    <n v="1"/>
    <s v="Oct"/>
    <n v="2026"/>
    <s v="Q4"/>
  </r>
  <r>
    <n v="654"/>
    <x v="653"/>
    <x v="3"/>
    <n v="1897"/>
    <n v="3609"/>
    <n v="3115"/>
    <n v="1583"/>
    <n v="288"/>
    <n v="0.79609963399999994"/>
    <n v="1.6027069089999999"/>
    <n v="3034"/>
    <n v="599"/>
    <n v="6"/>
    <n v="1.3553509619999999"/>
    <n v="0.98271247799999994"/>
    <b v="1"/>
    <n v="0.366107931"/>
    <n v="1"/>
    <s v="Oct"/>
    <n v="2026"/>
    <s v="Q4"/>
  </r>
  <r>
    <n v="655"/>
    <x v="654"/>
    <x v="2"/>
    <n v="4823"/>
    <n v="3616"/>
    <n v="1976"/>
    <n v="4857"/>
    <n v="2348"/>
    <n v="0.248597865"/>
    <n v="2.7303318089999999"/>
    <n v="2058"/>
    <n v="3614"/>
    <n v="6"/>
    <n v="1.353709899"/>
    <n v="0.89895427400000005"/>
    <b v="0"/>
    <n v="0.96422730999999995"/>
    <n v="1"/>
    <s v="Oct"/>
    <n v="2026"/>
    <s v="Q4"/>
  </r>
  <r>
    <n v="656"/>
    <x v="655"/>
    <x v="3"/>
    <n v="3919"/>
    <n v="4058"/>
    <n v="3905"/>
    <n v="1497"/>
    <n v="1562"/>
    <n v="0.33398085199999999"/>
    <n v="1.598090904"/>
    <n v="4592"/>
    <n v="3369"/>
    <n v="3"/>
    <n v="0.97473745599999995"/>
    <n v="0.89935191800000003"/>
    <b v="0"/>
    <n v="0.77943581399999995"/>
    <n v="1"/>
    <s v="Oct"/>
    <n v="2026"/>
    <s v="Q4"/>
  </r>
  <r>
    <n v="657"/>
    <x v="656"/>
    <x v="0"/>
    <n v="3957"/>
    <n v="1228"/>
    <n v="1877"/>
    <n v="910"/>
    <n v="658"/>
    <n v="0.270428059"/>
    <n v="1.8760318730000001"/>
    <n v="4378"/>
    <n v="471"/>
    <n v="6"/>
    <n v="1.1384314769999999"/>
    <n v="0.96389522100000002"/>
    <b v="0"/>
    <n v="0.78720359799999995"/>
    <n v="1"/>
    <s v="Oct"/>
    <n v="2026"/>
    <s v="Q4"/>
  </r>
  <r>
    <n v="658"/>
    <x v="657"/>
    <x v="2"/>
    <n v="994"/>
    <n v="4322"/>
    <n v="860"/>
    <n v="4387"/>
    <n v="1196"/>
    <n v="0.71517185000000005"/>
    <n v="2.3875009220000001"/>
    <n v="3150"/>
    <n v="2369"/>
    <n v="7"/>
    <n v="1.652105242"/>
    <n v="0.97203594800000004"/>
    <b v="0"/>
    <n v="0.18152085000000001"/>
    <n v="1"/>
    <s v="Oct"/>
    <n v="2026"/>
    <s v="Q4"/>
  </r>
  <r>
    <n v="659"/>
    <x v="658"/>
    <x v="2"/>
    <n v="3107"/>
    <n v="2476"/>
    <n v="1316"/>
    <n v="4602"/>
    <n v="605"/>
    <n v="0.66957197300000004"/>
    <n v="2.3834812350000001"/>
    <n v="1796"/>
    <n v="3211"/>
    <n v="5"/>
    <n v="0.82079047400000005"/>
    <n v="0.81389891599999997"/>
    <b v="0"/>
    <n v="0.61345053100000002"/>
    <n v="1"/>
    <s v="Oct"/>
    <n v="2026"/>
    <s v="Q4"/>
  </r>
  <r>
    <n v="660"/>
    <x v="659"/>
    <x v="3"/>
    <n v="1026"/>
    <n v="3531"/>
    <n v="2079"/>
    <n v="4379"/>
    <n v="3884"/>
    <n v="0.44293653199999999"/>
    <n v="1.7524689550000001"/>
    <n v="3344"/>
    <n v="1044"/>
    <n v="4"/>
    <n v="1.625841351"/>
    <n v="0.92681926100000001"/>
    <b v="0"/>
    <n v="0.18806214199999999"/>
    <n v="1"/>
    <s v="Oct"/>
    <n v="2026"/>
    <s v="Q4"/>
  </r>
  <r>
    <n v="661"/>
    <x v="660"/>
    <x v="3"/>
    <n v="4122"/>
    <n v="801"/>
    <n v="3024"/>
    <n v="4261"/>
    <n v="3142"/>
    <n v="0.474510033"/>
    <n v="2.9908873009999999"/>
    <n v="2555"/>
    <n v="1669"/>
    <n v="2"/>
    <n v="1.327050898"/>
    <n v="0.80453390400000002"/>
    <b v="0"/>
    <n v="0.82093213399999998"/>
    <n v="1"/>
    <s v="Oct"/>
    <n v="2026"/>
    <s v="Q4"/>
  </r>
  <r>
    <n v="662"/>
    <x v="661"/>
    <x v="1"/>
    <n v="1638"/>
    <n v="2592"/>
    <n v="798"/>
    <n v="2717"/>
    <n v="2952"/>
    <n v="0.56578351999999998"/>
    <n v="2.021511684"/>
    <n v="4123"/>
    <n v="3756"/>
    <n v="9"/>
    <n v="0.93392897699999999"/>
    <n v="0.89854413799999999"/>
    <b v="0"/>
    <n v="0.31316434999999998"/>
    <n v="0"/>
    <s v="Oct"/>
    <n v="2026"/>
    <s v="Q4"/>
  </r>
  <r>
    <n v="663"/>
    <x v="662"/>
    <x v="2"/>
    <n v="438"/>
    <n v="3562"/>
    <n v="1088"/>
    <n v="1750"/>
    <n v="1939"/>
    <n v="0.45622901199999999"/>
    <n v="0.89419434799999997"/>
    <n v="2623"/>
    <n v="3917"/>
    <n v="8"/>
    <n v="1.4800304440000001"/>
    <n v="0.90148705900000003"/>
    <b v="0"/>
    <n v="6.7865904000000005E-2"/>
    <n v="1"/>
    <s v="Oct"/>
    <n v="2026"/>
    <s v="Q4"/>
  </r>
  <r>
    <n v="664"/>
    <x v="663"/>
    <x v="2"/>
    <n v="3877"/>
    <n v="2782"/>
    <n v="2530"/>
    <n v="449"/>
    <n v="3105"/>
    <n v="0.58495812899999999"/>
    <n v="2.3221162070000001"/>
    <n v="4305"/>
    <n v="1658"/>
    <n v="1"/>
    <n v="0.88034926499999999"/>
    <n v="0.96064060299999998"/>
    <b v="1"/>
    <n v="0.77085036799999995"/>
    <n v="1"/>
    <s v="Oct"/>
    <n v="2026"/>
    <s v="Q4"/>
  </r>
  <r>
    <n v="665"/>
    <x v="664"/>
    <x v="2"/>
    <n v="415"/>
    <n v="669"/>
    <n v="815"/>
    <n v="3085"/>
    <n v="2833"/>
    <n v="0.67016751600000002"/>
    <n v="1.1614881109999999"/>
    <n v="3199"/>
    <n v="2841"/>
    <n v="2"/>
    <n v="1.8176384640000001"/>
    <n v="0.86093820899999995"/>
    <b v="0"/>
    <n v="6.3164349999999994E-2"/>
    <n v="1"/>
    <s v="Oct"/>
    <n v="2026"/>
    <s v="Q4"/>
  </r>
  <r>
    <n v="666"/>
    <x v="665"/>
    <x v="1"/>
    <n v="4409"/>
    <n v="3457"/>
    <n v="542"/>
    <n v="3948"/>
    <n v="2917"/>
    <n v="0.235083499"/>
    <n v="2.002526268"/>
    <n v="3176"/>
    <n v="1564"/>
    <n v="8"/>
    <n v="1.526973637"/>
    <n v="0.88048366700000003"/>
    <b v="0"/>
    <n v="0.879599346"/>
    <n v="1"/>
    <s v="Oct"/>
    <n v="2026"/>
    <s v="Q4"/>
  </r>
  <r>
    <n v="667"/>
    <x v="666"/>
    <x v="2"/>
    <n v="2581"/>
    <n v="3502"/>
    <n v="297"/>
    <n v="4886"/>
    <n v="1443"/>
    <n v="0.383483301"/>
    <n v="1.5997016559999999"/>
    <n v="2332"/>
    <n v="461"/>
    <n v="3"/>
    <n v="1.092151713"/>
    <n v="0.91826422799999996"/>
    <b v="0"/>
    <n v="0.50592804599999996"/>
    <n v="1"/>
    <s v="Oct"/>
    <n v="2026"/>
    <s v="Q4"/>
  </r>
  <r>
    <n v="668"/>
    <x v="667"/>
    <x v="1"/>
    <n v="714"/>
    <n v="1895"/>
    <n v="3468"/>
    <n v="3342"/>
    <n v="1004"/>
    <n v="0.47792984999999999"/>
    <n v="0.69061335199999996"/>
    <n v="3771"/>
    <n v="2614"/>
    <n v="4"/>
    <n v="1.7821251170000001"/>
    <n v="0.97892417899999995"/>
    <b v="0"/>
    <n v="0.124284546"/>
    <n v="1"/>
    <s v="Oct"/>
    <n v="2026"/>
    <s v="Q4"/>
  </r>
  <r>
    <n v="669"/>
    <x v="668"/>
    <x v="3"/>
    <n v="2923"/>
    <n v="3818"/>
    <n v="2742"/>
    <n v="3536"/>
    <n v="3381"/>
    <n v="0.34179022399999998"/>
    <n v="2.706140086"/>
    <n v="3695"/>
    <n v="870"/>
    <n v="9"/>
    <n v="0.58216498400000005"/>
    <n v="0.835194989"/>
    <b v="0"/>
    <n v="0.57583810300000005"/>
    <n v="1"/>
    <s v="Oct"/>
    <n v="2026"/>
    <s v="Q4"/>
  </r>
  <r>
    <n v="670"/>
    <x v="669"/>
    <x v="2"/>
    <n v="565"/>
    <n v="2440"/>
    <n v="3420"/>
    <n v="3778"/>
    <n v="3223"/>
    <n v="0.69765139200000004"/>
    <n v="2.1671814180000002"/>
    <n v="4411"/>
    <n v="2728"/>
    <n v="5"/>
    <n v="1.1855164010000001"/>
    <n v="0.90395840500000002"/>
    <b v="0"/>
    <n v="9.3826655999999994E-2"/>
    <n v="1"/>
    <s v="Nov"/>
    <n v="2026"/>
    <s v="Q4"/>
  </r>
  <r>
    <n v="671"/>
    <x v="670"/>
    <x v="1"/>
    <n v="4747"/>
    <n v="829"/>
    <n v="3615"/>
    <n v="1652"/>
    <n v="183"/>
    <n v="0.65952211599999999"/>
    <n v="2.1291752559999999"/>
    <n v="975"/>
    <n v="213"/>
    <n v="5"/>
    <n v="0.73317075099999995"/>
    <n v="0.83290892999999999"/>
    <b v="0"/>
    <n v="0.94869174199999995"/>
    <n v="1"/>
    <s v="Nov"/>
    <n v="2026"/>
    <s v="Q4"/>
  </r>
  <r>
    <n v="672"/>
    <x v="671"/>
    <x v="3"/>
    <n v="1399"/>
    <n v="3555"/>
    <n v="3598"/>
    <n v="3993"/>
    <n v="2772"/>
    <n v="0.38569354099999997"/>
    <n v="2.2878850709999998"/>
    <n v="4903"/>
    <n v="3303"/>
    <n v="5"/>
    <n v="1.4375420880000001"/>
    <n v="0.92908195999999998"/>
    <b v="0"/>
    <n v="0.26430907599999998"/>
    <n v="1"/>
    <s v="Nov"/>
    <n v="2026"/>
    <s v="Q4"/>
  </r>
  <r>
    <n v="673"/>
    <x v="672"/>
    <x v="0"/>
    <n v="4786"/>
    <n v="2912"/>
    <n v="1041"/>
    <n v="3857"/>
    <n v="1691"/>
    <n v="0.66903104099999999"/>
    <n v="1.9992809220000001"/>
    <n v="1550"/>
    <n v="2323"/>
    <n v="2"/>
    <n v="0.54869831099999999"/>
    <n v="0.96962351700000005"/>
    <b v="0"/>
    <n v="0.95666394099999996"/>
    <n v="1"/>
    <s v="Nov"/>
    <n v="2026"/>
    <s v="Q4"/>
  </r>
  <r>
    <n v="674"/>
    <x v="673"/>
    <x v="3"/>
    <n v="1453"/>
    <n v="1393"/>
    <n v="3251"/>
    <n v="3689"/>
    <n v="3584"/>
    <n v="0.60482502100000002"/>
    <n v="1.929803725"/>
    <n v="1794"/>
    <n v="367"/>
    <n v="6"/>
    <n v="1.2107759600000001"/>
    <n v="0.96059828199999997"/>
    <b v="0"/>
    <n v="0.27534750600000002"/>
    <n v="1"/>
    <s v="Nov"/>
    <n v="2026"/>
    <s v="Q4"/>
  </r>
  <r>
    <n v="675"/>
    <x v="674"/>
    <x v="3"/>
    <n v="4269"/>
    <n v="3748"/>
    <n v="3723"/>
    <n v="1519"/>
    <n v="2276"/>
    <n v="0.37171346199999999"/>
    <n v="0.667821043"/>
    <n v="3848"/>
    <n v="636"/>
    <n v="8"/>
    <n v="1.6086699280000001"/>
    <n v="0.88966805000000004"/>
    <b v="0"/>
    <n v="0.85098119400000005"/>
    <n v="1"/>
    <s v="Nov"/>
    <n v="2026"/>
    <s v="Q4"/>
  </r>
  <r>
    <n v="676"/>
    <x v="675"/>
    <x v="2"/>
    <n v="4826"/>
    <n v="2723"/>
    <n v="3995"/>
    <n v="606"/>
    <n v="2326"/>
    <n v="0.537625503"/>
    <n v="2.1680572159999998"/>
    <n v="247"/>
    <n v="3497"/>
    <n v="9"/>
    <n v="1.37977539"/>
    <n v="0.97490727300000002"/>
    <b v="1"/>
    <n v="0.96484055599999996"/>
    <n v="0"/>
    <s v="Nov"/>
    <n v="2026"/>
    <s v="Q4"/>
  </r>
  <r>
    <n v="677"/>
    <x v="676"/>
    <x v="0"/>
    <n v="261"/>
    <n v="2748"/>
    <n v="2421"/>
    <n v="1657"/>
    <n v="3082"/>
    <n v="0.28637987300000001"/>
    <n v="2.9453407390000002"/>
    <n v="171"/>
    <n v="258"/>
    <n v="9"/>
    <n v="0.76953745299999998"/>
    <n v="0.80358431699999999"/>
    <b v="0"/>
    <n v="3.1684383000000003E-2"/>
    <n v="1"/>
    <s v="Nov"/>
    <n v="2026"/>
    <s v="Q4"/>
  </r>
  <r>
    <n v="678"/>
    <x v="677"/>
    <x v="2"/>
    <n v="145"/>
    <n v="1281"/>
    <n v="1787"/>
    <n v="4251"/>
    <n v="1114"/>
    <n v="0.694494061"/>
    <n v="1.8628015120000001"/>
    <n v="3631"/>
    <n v="1358"/>
    <n v="9"/>
    <n v="1.954476892"/>
    <n v="0.83170755399999996"/>
    <b v="0"/>
    <n v="7.9722000000000005E-3"/>
    <n v="0"/>
    <s v="Nov"/>
    <n v="2026"/>
    <s v="Q4"/>
  </r>
  <r>
    <n v="679"/>
    <x v="678"/>
    <x v="1"/>
    <n v="2109"/>
    <n v="3656"/>
    <n v="1117"/>
    <n v="2629"/>
    <n v="934"/>
    <n v="0.36939507399999999"/>
    <n v="1.228597502"/>
    <n v="4090"/>
    <n v="754"/>
    <n v="5"/>
    <n v="1.557029497"/>
    <n v="0.95957487200000002"/>
    <b v="0"/>
    <n v="0.40944398999999998"/>
    <n v="1"/>
    <s v="Nov"/>
    <n v="2026"/>
    <s v="Q4"/>
  </r>
  <r>
    <n v="680"/>
    <x v="679"/>
    <x v="0"/>
    <n v="4689"/>
    <n v="2433"/>
    <n v="661"/>
    <n v="2006"/>
    <n v="3447"/>
    <n v="0.241917045"/>
    <n v="2.4246235089999999"/>
    <n v="4024"/>
    <n v="304"/>
    <n v="8"/>
    <n v="1.834122421"/>
    <n v="0.94548446200000003"/>
    <b v="0"/>
    <n v="0.93683565000000002"/>
    <n v="1"/>
    <s v="Nov"/>
    <n v="2026"/>
    <s v="Q4"/>
  </r>
  <r>
    <n v="681"/>
    <x v="680"/>
    <x v="2"/>
    <n v="3599"/>
    <n v="3713"/>
    <n v="1286"/>
    <n v="2596"/>
    <n v="3370"/>
    <n v="0.47537558600000002"/>
    <n v="0.95781883800000001"/>
    <n v="3874"/>
    <n v="101"/>
    <n v="9"/>
    <n v="0.97110757800000003"/>
    <n v="0.93428725000000001"/>
    <b v="0"/>
    <n v="0.71402289500000005"/>
    <n v="0"/>
    <s v="Nov"/>
    <n v="2026"/>
    <s v="Q4"/>
  </r>
  <r>
    <n v="682"/>
    <x v="681"/>
    <x v="3"/>
    <n v="2069"/>
    <n v="2256"/>
    <n v="1839"/>
    <n v="1884"/>
    <n v="2442"/>
    <n v="0.32902603800000002"/>
    <n v="2.1188899550000002"/>
    <n v="2452"/>
    <n v="2884"/>
    <n v="6"/>
    <n v="1.9046631000000001"/>
    <n v="0.80139202200000004"/>
    <b v="0"/>
    <n v="0.40126737499999998"/>
    <n v="1"/>
    <s v="Nov"/>
    <n v="2026"/>
    <s v="Q4"/>
  </r>
  <r>
    <n v="683"/>
    <x v="682"/>
    <x v="1"/>
    <n v="3387"/>
    <n v="3561"/>
    <n v="1673"/>
    <n v="1680"/>
    <n v="2156"/>
    <n v="0.73159717199999996"/>
    <n v="1.980466002"/>
    <n v="3601"/>
    <n v="627"/>
    <n v="5"/>
    <n v="1.1137860369999999"/>
    <n v="0.91021640000000004"/>
    <b v="0"/>
    <n v="0.67068683600000001"/>
    <n v="1"/>
    <s v="Nov"/>
    <n v="2026"/>
    <s v="Q4"/>
  </r>
  <r>
    <n v="684"/>
    <x v="683"/>
    <x v="1"/>
    <n v="735"/>
    <n v="4475"/>
    <n v="2373"/>
    <n v="2486"/>
    <n v="1073"/>
    <n v="0.39557323999999999"/>
    <n v="1.100180522"/>
    <n v="3611"/>
    <n v="849"/>
    <n v="7"/>
    <n v="1.7314110739999999"/>
    <n v="0.94658585900000003"/>
    <b v="0"/>
    <n v="0.12857726899999999"/>
    <n v="1"/>
    <s v="Nov"/>
    <n v="2026"/>
    <s v="Q4"/>
  </r>
  <r>
    <n v="685"/>
    <x v="684"/>
    <x v="2"/>
    <n v="862"/>
    <n v="2656"/>
    <n v="3745"/>
    <n v="2598"/>
    <n v="3198"/>
    <n v="0.78459642699999999"/>
    <n v="1.690628107"/>
    <n v="4466"/>
    <n v="3644"/>
    <n v="2"/>
    <n v="0.76893091899999999"/>
    <n v="0.904348229"/>
    <b v="0"/>
    <n v="0.154538021"/>
    <n v="1"/>
    <s v="Nov"/>
    <n v="2026"/>
    <s v="Q4"/>
  </r>
  <r>
    <n v="686"/>
    <x v="685"/>
    <x v="1"/>
    <n v="4608"/>
    <n v="3315"/>
    <n v="519"/>
    <n v="1918"/>
    <n v="3194"/>
    <n v="0.79044321699999998"/>
    <n v="1.070862354"/>
    <n v="3772"/>
    <n v="2115"/>
    <n v="5"/>
    <n v="1.11854995"/>
    <n v="0.94188166500000003"/>
    <b v="0"/>
    <n v="0.92027800500000001"/>
    <n v="1"/>
    <s v="Nov"/>
    <n v="2026"/>
    <s v="Q4"/>
  </r>
  <r>
    <n v="687"/>
    <x v="686"/>
    <x v="1"/>
    <n v="1561"/>
    <n v="1595"/>
    <n v="2531"/>
    <n v="4281"/>
    <n v="411"/>
    <n v="0.348266258"/>
    <n v="2.1784264599999998"/>
    <n v="2911"/>
    <n v="1359"/>
    <n v="1"/>
    <n v="1.495420534"/>
    <n v="0.89145738399999996"/>
    <b v="1"/>
    <n v="0.297424366"/>
    <n v="1"/>
    <s v="Nov"/>
    <n v="2026"/>
    <s v="Q4"/>
  </r>
  <r>
    <n v="688"/>
    <x v="687"/>
    <x v="2"/>
    <n v="316"/>
    <n v="1273"/>
    <n v="3238"/>
    <n v="2591"/>
    <n v="3100"/>
    <n v="0.54070148799999995"/>
    <n v="1.1648611369999999"/>
    <n v="389"/>
    <n v="2185"/>
    <n v="9"/>
    <n v="1.0480684229999999"/>
    <n v="0.81983825600000004"/>
    <b v="0"/>
    <n v="4.2927227999999998E-2"/>
    <n v="1"/>
    <s v="Nov"/>
    <n v="2026"/>
    <s v="Q4"/>
  </r>
  <r>
    <n v="689"/>
    <x v="688"/>
    <x v="0"/>
    <n v="3772"/>
    <n v="1337"/>
    <n v="810"/>
    <n v="2586"/>
    <n v="1921"/>
    <n v="0.43702970499999999"/>
    <n v="2.6584477560000002"/>
    <n v="4337"/>
    <n v="3877"/>
    <n v="2"/>
    <n v="0.77824212000000004"/>
    <n v="0.85762787399999996"/>
    <b v="0"/>
    <n v="0.74938675399999999"/>
    <n v="1"/>
    <s v="Nov"/>
    <n v="2026"/>
    <s v="Q4"/>
  </r>
  <r>
    <n v="690"/>
    <x v="689"/>
    <x v="2"/>
    <n v="2361"/>
    <n v="2428"/>
    <n v="2057"/>
    <n v="1515"/>
    <n v="3985"/>
    <n v="0.56327170199999999"/>
    <n v="2.9021141510000001"/>
    <n v="4596"/>
    <n v="283"/>
    <n v="8"/>
    <n v="0.95347309099999999"/>
    <n v="0.95534295300000005"/>
    <b v="0"/>
    <n v="0.46095666400000002"/>
    <n v="1"/>
    <s v="Nov"/>
    <n v="2026"/>
    <s v="Q4"/>
  </r>
  <r>
    <n v="691"/>
    <x v="690"/>
    <x v="3"/>
    <n v="1592"/>
    <n v="1886"/>
    <n v="1799"/>
    <n v="2643"/>
    <n v="3190"/>
    <n v="0.35852712199999998"/>
    <n v="0.98106793599999997"/>
    <n v="3708"/>
    <n v="2590"/>
    <n v="5"/>
    <n v="1.7988283789999999"/>
    <n v="0.87110580500000001"/>
    <b v="0"/>
    <n v="0.30376124300000001"/>
    <n v="1"/>
    <s v="Nov"/>
    <n v="2026"/>
    <s v="Q4"/>
  </r>
  <r>
    <n v="692"/>
    <x v="691"/>
    <x v="3"/>
    <n v="822"/>
    <n v="968"/>
    <n v="2975"/>
    <n v="3266"/>
    <n v="2016"/>
    <n v="0.372334575"/>
    <n v="0.65569770400000005"/>
    <n v="1161"/>
    <n v="3221"/>
    <n v="6"/>
    <n v="0.87648562699999999"/>
    <n v="0.88950814499999997"/>
    <b v="0"/>
    <n v="0.146361406"/>
    <n v="1"/>
    <s v="Nov"/>
    <n v="2026"/>
    <s v="Q4"/>
  </r>
  <r>
    <n v="693"/>
    <x v="692"/>
    <x v="3"/>
    <n v="2488"/>
    <n v="2135"/>
    <n v="3452"/>
    <n v="1682"/>
    <n v="2412"/>
    <n v="0.71350891100000002"/>
    <n v="2.0243448119999998"/>
    <n v="3429"/>
    <n v="3906"/>
    <n v="3"/>
    <n v="0.92304318399999996"/>
    <n v="0.85278799100000002"/>
    <b v="0"/>
    <n v="0.48691741599999999"/>
    <n v="1"/>
    <s v="Nov"/>
    <n v="2026"/>
    <s v="Q4"/>
  </r>
  <r>
    <n v="694"/>
    <x v="693"/>
    <x v="1"/>
    <n v="2270"/>
    <n v="4422"/>
    <n v="3797"/>
    <n v="4986"/>
    <n v="867"/>
    <n v="0.73698389799999997"/>
    <n v="2.4210714320000002"/>
    <n v="1614"/>
    <n v="3931"/>
    <n v="4"/>
    <n v="1.6639379480000001"/>
    <n v="0.84333891500000002"/>
    <b v="0"/>
    <n v="0.44235486499999999"/>
    <n v="1"/>
    <s v="Nov"/>
    <n v="2026"/>
    <s v="Q4"/>
  </r>
  <r>
    <n v="695"/>
    <x v="694"/>
    <x v="3"/>
    <n v="4983"/>
    <n v="1103"/>
    <n v="204"/>
    <n v="3251"/>
    <n v="2744"/>
    <n v="0.50027273400000005"/>
    <n v="1.8939623640000001"/>
    <n v="4913"/>
    <n v="3321"/>
    <n v="5"/>
    <n v="1.1205370619999999"/>
    <n v="0.95664669400000002"/>
    <b v="0"/>
    <n v="0.99693376899999997"/>
    <n v="1"/>
    <s v="Nov"/>
    <n v="2026"/>
    <s v="Q4"/>
  </r>
  <r>
    <n v="696"/>
    <x v="695"/>
    <x v="1"/>
    <n v="587"/>
    <n v="631"/>
    <n v="306"/>
    <n v="1109"/>
    <n v="103"/>
    <n v="0.49734351399999999"/>
    <n v="0.88603770400000004"/>
    <n v="359"/>
    <n v="3977"/>
    <n v="8"/>
    <n v="1.8842387890000001"/>
    <n v="0.89604890500000001"/>
    <b v="0"/>
    <n v="9.8323794000000006E-2"/>
    <n v="1"/>
    <s v="Nov"/>
    <n v="2026"/>
    <s v="Q4"/>
  </r>
  <r>
    <n v="697"/>
    <x v="696"/>
    <x v="1"/>
    <n v="2927"/>
    <n v="1918"/>
    <n v="2580"/>
    <n v="2839"/>
    <n v="2414"/>
    <n v="0.78483236999999995"/>
    <n v="0.55759254199999997"/>
    <n v="593"/>
    <n v="3655"/>
    <n v="1"/>
    <n v="1.602202581"/>
    <n v="0.99061885800000005"/>
    <b v="0"/>
    <n v="0.57665576500000004"/>
    <n v="1"/>
    <s v="Nov"/>
    <n v="2026"/>
    <s v="Q4"/>
  </r>
  <r>
    <n v="698"/>
    <x v="697"/>
    <x v="1"/>
    <n v="4293"/>
    <n v="795"/>
    <n v="1168"/>
    <n v="1704"/>
    <n v="385"/>
    <n v="0.60375796500000001"/>
    <n v="2.1267679720000001"/>
    <n v="3804"/>
    <n v="786"/>
    <n v="1"/>
    <n v="1.8941371060000001"/>
    <n v="0.86856188700000003"/>
    <b v="0"/>
    <n v="0.85588716300000001"/>
    <n v="1"/>
    <s v="Nov"/>
    <n v="2026"/>
    <s v="Q4"/>
  </r>
  <r>
    <n v="699"/>
    <x v="698"/>
    <x v="3"/>
    <n v="3536"/>
    <n v="2229"/>
    <n v="1074"/>
    <n v="2587"/>
    <n v="1954"/>
    <n v="0.50570007699999997"/>
    <n v="2.2299743759999999"/>
    <n v="1901"/>
    <n v="1343"/>
    <n v="8"/>
    <n v="1.327707985"/>
    <n v="0.86513373299999996"/>
    <b v="0"/>
    <n v="0.701144726"/>
    <n v="1"/>
    <s v="Nov"/>
    <n v="2026"/>
    <s v="Q4"/>
  </r>
  <r>
    <n v="700"/>
    <x v="699"/>
    <x v="2"/>
    <n v="4265"/>
    <n v="1932"/>
    <n v="1196"/>
    <n v="1099"/>
    <n v="3717"/>
    <n v="0.49345031499999997"/>
    <n v="1.5899599339999999"/>
    <n v="2389"/>
    <n v="3559"/>
    <n v="1"/>
    <n v="0.53286171599999999"/>
    <n v="0.84226083200000001"/>
    <b v="0"/>
    <n v="0.85016353200000006"/>
    <n v="1"/>
    <s v="Dec"/>
    <n v="2026"/>
    <s v="Q4"/>
  </r>
  <r>
    <n v="701"/>
    <x v="700"/>
    <x v="0"/>
    <n v="862"/>
    <n v="3919"/>
    <n v="1188"/>
    <n v="4415"/>
    <n v="1464"/>
    <n v="0.32930395699999998"/>
    <n v="2.899042589"/>
    <n v="2528"/>
    <n v="1508"/>
    <n v="6"/>
    <n v="0.88388233400000005"/>
    <n v="0.982231458"/>
    <b v="0"/>
    <n v="0.154538021"/>
    <n v="1"/>
    <s v="Dec"/>
    <n v="2026"/>
    <s v="Q4"/>
  </r>
  <r>
    <n v="702"/>
    <x v="701"/>
    <x v="2"/>
    <n v="4225"/>
    <n v="2582"/>
    <n v="1732"/>
    <n v="3244"/>
    <n v="1915"/>
    <n v="0.74590439100000006"/>
    <n v="1.8978899090000001"/>
    <n v="1100"/>
    <n v="2294"/>
    <n v="6"/>
    <n v="1.5308093229999999"/>
    <n v="0.90473645000000003"/>
    <b v="0"/>
    <n v="0.84198691699999995"/>
    <n v="1"/>
    <s v="Dec"/>
    <n v="2026"/>
    <s v="Q4"/>
  </r>
  <r>
    <n v="703"/>
    <x v="702"/>
    <x v="2"/>
    <n v="3003"/>
    <n v="2665"/>
    <n v="3111"/>
    <n v="3437"/>
    <n v="3102"/>
    <n v="0.44452976100000002"/>
    <n v="2.734992718"/>
    <n v="3089"/>
    <n v="2951"/>
    <n v="9"/>
    <n v="1.300438548"/>
    <n v="0.83492382799999998"/>
    <b v="0"/>
    <n v="0.59219133300000004"/>
    <n v="1"/>
    <s v="Dec"/>
    <n v="2026"/>
    <s v="Q4"/>
  </r>
  <r>
    <n v="704"/>
    <x v="703"/>
    <x v="3"/>
    <n v="2787"/>
    <n v="4241"/>
    <n v="3080"/>
    <n v="2844"/>
    <n v="3836"/>
    <n v="0.69348618799999995"/>
    <n v="2.192987993"/>
    <n v="1223"/>
    <n v="3792"/>
    <n v="3"/>
    <n v="1.929618211"/>
    <n v="0.81667973100000002"/>
    <b v="0"/>
    <n v="0.54803761200000001"/>
    <n v="1"/>
    <s v="Dec"/>
    <n v="2026"/>
    <s v="Q4"/>
  </r>
  <r>
    <n v="705"/>
    <x v="704"/>
    <x v="0"/>
    <n v="4871"/>
    <n v="4293"/>
    <n v="1178"/>
    <n v="2699"/>
    <n v="3570"/>
    <n v="0.22354315199999999"/>
    <n v="0.97182166299999995"/>
    <n v="4824"/>
    <n v="238"/>
    <n v="8"/>
    <n v="1.8441910480000001"/>
    <n v="0.83666013100000003"/>
    <b v="0"/>
    <n v="0.97403924799999997"/>
    <n v="1"/>
    <s v="Dec"/>
    <n v="2026"/>
    <s v="Q4"/>
  </r>
  <r>
    <n v="706"/>
    <x v="705"/>
    <x v="1"/>
    <n v="3942"/>
    <n v="2215"/>
    <n v="1477"/>
    <n v="2363"/>
    <n v="3078"/>
    <n v="0.34084036699999998"/>
    <n v="1.1009564650000001"/>
    <n v="2258"/>
    <n v="2685"/>
    <n v="4"/>
    <n v="1.068863648"/>
    <n v="0.92122650699999997"/>
    <b v="0"/>
    <n v="0.78413736700000003"/>
    <n v="1"/>
    <s v="Dec"/>
    <n v="2026"/>
    <s v="Q4"/>
  </r>
  <r>
    <n v="707"/>
    <x v="706"/>
    <x v="2"/>
    <n v="2036"/>
    <n v="2508"/>
    <n v="2826"/>
    <n v="1409"/>
    <n v="2692"/>
    <n v="0.53795258899999998"/>
    <n v="0.86140479700000006"/>
    <n v="108"/>
    <n v="2792"/>
    <n v="2"/>
    <n v="1.6985471080000001"/>
    <n v="0.84238490399999999"/>
    <b v="0"/>
    <n v="0.39452166799999999"/>
    <n v="1"/>
    <s v="Dec"/>
    <n v="2026"/>
    <s v="Q4"/>
  </r>
  <r>
    <n v="708"/>
    <x v="707"/>
    <x v="2"/>
    <n v="4183"/>
    <n v="1702"/>
    <n v="2717"/>
    <n v="2485"/>
    <n v="2773"/>
    <n v="0.59986787200000002"/>
    <n v="1.756211328"/>
    <n v="2381"/>
    <n v="1917"/>
    <n v="4"/>
    <n v="1.5890814360000001"/>
    <n v="0.94899317100000002"/>
    <b v="0"/>
    <n v="0.83340147200000003"/>
    <n v="1"/>
    <s v="Dec"/>
    <n v="2026"/>
    <s v="Q4"/>
  </r>
  <r>
    <n v="709"/>
    <x v="708"/>
    <x v="0"/>
    <n v="535"/>
    <n v="558"/>
    <n v="3010"/>
    <n v="2893"/>
    <n v="192"/>
    <n v="0.73395144999999995"/>
    <n v="0.59801158600000004"/>
    <n v="3369"/>
    <n v="1526"/>
    <n v="2"/>
    <n v="1.8116142660000001"/>
    <n v="0.87985936499999995"/>
    <b v="0"/>
    <n v="8.7694195000000003E-2"/>
    <n v="1"/>
    <s v="Dec"/>
    <n v="2026"/>
    <s v="Q4"/>
  </r>
  <r>
    <n v="710"/>
    <x v="709"/>
    <x v="1"/>
    <n v="1059"/>
    <n v="3715"/>
    <n v="1555"/>
    <n v="4882"/>
    <n v="929"/>
    <n v="0.334536473"/>
    <n v="0.73290198699999998"/>
    <n v="2826"/>
    <n v="1675"/>
    <n v="5"/>
    <n v="0.60462381399999998"/>
    <n v="0.87868741699999997"/>
    <b v="0"/>
    <n v="0.19480785"/>
    <n v="1"/>
    <s v="Dec"/>
    <n v="2026"/>
    <s v="Q4"/>
  </r>
  <r>
    <n v="711"/>
    <x v="710"/>
    <x v="0"/>
    <n v="623"/>
    <n v="3737"/>
    <n v="1759"/>
    <n v="3842"/>
    <n v="3272"/>
    <n v="0.43051787200000002"/>
    <n v="1.0629813690000001"/>
    <n v="4145"/>
    <n v="3281"/>
    <n v="3"/>
    <n v="1.72647203"/>
    <n v="0.90978736000000004"/>
    <b v="0"/>
    <n v="0.10568274699999999"/>
    <n v="1"/>
    <s v="Dec"/>
    <n v="2026"/>
    <s v="Q4"/>
  </r>
  <r>
    <n v="712"/>
    <x v="711"/>
    <x v="0"/>
    <n v="1758"/>
    <n v="3609"/>
    <n v="842"/>
    <n v="3283"/>
    <n v="3159"/>
    <n v="0.69159070700000003"/>
    <n v="1.3877089460000001"/>
    <n v="4262"/>
    <n v="3864"/>
    <n v="4"/>
    <n v="1.4663084710000001"/>
    <n v="0.81669095300000005"/>
    <b v="0"/>
    <n v="0.33769419499999997"/>
    <n v="1"/>
    <s v="Dec"/>
    <n v="2026"/>
    <s v="Q4"/>
  </r>
  <r>
    <n v="713"/>
    <x v="712"/>
    <x v="3"/>
    <n v="2667"/>
    <n v="4491"/>
    <n v="2473"/>
    <n v="1306"/>
    <n v="1288"/>
    <n v="0.21860069400000001"/>
    <n v="1.256504203"/>
    <n v="1127"/>
    <n v="3392"/>
    <n v="6"/>
    <n v="0.86518816600000004"/>
    <n v="0.92002992699999997"/>
    <b v="0"/>
    <n v="0.52350776799999998"/>
    <n v="1"/>
    <s v="Dec"/>
    <n v="2026"/>
    <s v="Q4"/>
  </r>
  <r>
    <n v="714"/>
    <x v="713"/>
    <x v="1"/>
    <n v="170"/>
    <n v="3923"/>
    <n v="3778"/>
    <n v="4482"/>
    <n v="843"/>
    <n v="0.34684498600000002"/>
    <n v="2.0865615279999998"/>
    <n v="981"/>
    <n v="2980"/>
    <n v="6"/>
    <n v="1.3420996169999999"/>
    <n v="0.85787063100000005"/>
    <b v="0"/>
    <n v="1.3082584E-2"/>
    <n v="1"/>
    <s v="Dec"/>
    <n v="2026"/>
    <s v="Q4"/>
  </r>
  <r>
    <n v="715"/>
    <x v="714"/>
    <x v="0"/>
    <n v="4147"/>
    <n v="3215"/>
    <n v="3946"/>
    <n v="1257"/>
    <n v="3091"/>
    <n v="0.407227801"/>
    <n v="2.0566808700000001"/>
    <n v="984"/>
    <n v="2484"/>
    <n v="2"/>
    <n v="1.555448205"/>
    <n v="0.90833288000000001"/>
    <b v="0"/>
    <n v="0.82604251799999995"/>
    <n v="0"/>
    <s v="Dec"/>
    <n v="2026"/>
    <s v="Q4"/>
  </r>
  <r>
    <n v="716"/>
    <x v="715"/>
    <x v="2"/>
    <n v="3487"/>
    <n v="3657"/>
    <n v="3678"/>
    <n v="3947"/>
    <n v="103"/>
    <n v="0.63322143399999997"/>
    <n v="2.9680399290000001"/>
    <n v="3297"/>
    <n v="3720"/>
    <n v="5"/>
    <n v="1.856853595"/>
    <n v="0.81996709899999998"/>
    <b v="0"/>
    <n v="0.69112837299999996"/>
    <n v="1"/>
    <s v="Dec"/>
    <n v="2026"/>
    <s v="Q4"/>
  </r>
  <r>
    <n v="717"/>
    <x v="716"/>
    <x v="0"/>
    <n v="4721"/>
    <n v="2777"/>
    <n v="692"/>
    <n v="4489"/>
    <n v="2914"/>
    <n v="0.72848330900000002"/>
    <n v="0.72796007600000001"/>
    <n v="947"/>
    <n v="3988"/>
    <n v="8"/>
    <n v="1.678774996"/>
    <n v="0.92503122599999998"/>
    <b v="0"/>
    <n v="0.943376942"/>
    <n v="1"/>
    <s v="Dec"/>
    <n v="2026"/>
    <s v="Q4"/>
  </r>
  <r>
    <n v="718"/>
    <x v="717"/>
    <x v="1"/>
    <n v="1310"/>
    <n v="1361"/>
    <n v="3568"/>
    <n v="4178"/>
    <n v="406"/>
    <n v="0.48189979300000002"/>
    <n v="1.29490792"/>
    <n v="1842"/>
    <n v="3372"/>
    <n v="3"/>
    <n v="1.4343329250000001"/>
    <n v="0.82049818699999999"/>
    <b v="0"/>
    <n v="0.246116108"/>
    <n v="1"/>
    <s v="Dec"/>
    <n v="2026"/>
    <s v="Q4"/>
  </r>
  <r>
    <n v="719"/>
    <x v="718"/>
    <x v="3"/>
    <n v="679"/>
    <n v="2233"/>
    <n v="1614"/>
    <n v="3417"/>
    <n v="3548"/>
    <n v="0.62030474400000002"/>
    <n v="2.0078138019999998"/>
    <n v="4490"/>
    <n v="3752"/>
    <n v="4"/>
    <n v="0.86471369600000003"/>
    <n v="0.99328119599999998"/>
    <b v="0"/>
    <n v="0.11713000799999999"/>
    <n v="1"/>
    <s v="Dec"/>
    <n v="2026"/>
    <s v="Q4"/>
  </r>
  <r>
    <n v="720"/>
    <x v="719"/>
    <x v="2"/>
    <n v="2629"/>
    <n v="2507"/>
    <n v="1870"/>
    <n v="1367"/>
    <n v="1313"/>
    <n v="0.56044376699999998"/>
    <n v="1.9199446449999999"/>
    <n v="1700"/>
    <n v="3671"/>
    <n v="7"/>
    <n v="1.03781507"/>
    <n v="0.97729351200000003"/>
    <b v="0"/>
    <n v="0.51573998399999998"/>
    <n v="0"/>
    <s v="Dec"/>
    <n v="2026"/>
    <s v="Q4"/>
  </r>
  <r>
    <n v="721"/>
    <x v="720"/>
    <x v="2"/>
    <n v="693"/>
    <n v="4422"/>
    <n v="2101"/>
    <n v="3912"/>
    <n v="2098"/>
    <n v="0.47201328599999998"/>
    <n v="2.6673950770000001"/>
    <n v="3228"/>
    <n v="784"/>
    <n v="5"/>
    <n v="1.06484774"/>
    <n v="0.80875525800000003"/>
    <b v="0"/>
    <n v="0.119991823"/>
    <n v="1"/>
    <s v="Dec"/>
    <n v="2026"/>
    <s v="Q4"/>
  </r>
  <r>
    <n v="722"/>
    <x v="721"/>
    <x v="0"/>
    <n v="638"/>
    <n v="1127"/>
    <n v="1515"/>
    <n v="3280"/>
    <n v="749"/>
    <n v="0.33643183100000001"/>
    <n v="1.8192059549999999"/>
    <n v="2779"/>
    <n v="3717"/>
    <n v="1"/>
    <n v="0.59048429000000002"/>
    <n v="0.97157975500000004"/>
    <b v="0"/>
    <n v="0.108748978"/>
    <n v="1"/>
    <s v="Dec"/>
    <n v="2026"/>
    <s v="Q4"/>
  </r>
  <r>
    <n v="723"/>
    <x v="722"/>
    <x v="3"/>
    <n v="4460"/>
    <n v="4103"/>
    <n v="3661"/>
    <n v="669"/>
    <n v="2940"/>
    <n v="0.22715993300000001"/>
    <n v="1.347644793"/>
    <n v="464"/>
    <n v="1103"/>
    <n v="4"/>
    <n v="0.51666326600000001"/>
    <n v="0.84494655399999996"/>
    <b v="0"/>
    <n v="0.89002453000000004"/>
    <n v="1"/>
    <s v="Dec"/>
    <n v="2026"/>
    <s v="Q4"/>
  </r>
  <r>
    <n v="724"/>
    <x v="723"/>
    <x v="3"/>
    <n v="4358"/>
    <n v="4153"/>
    <n v="563"/>
    <n v="4440"/>
    <n v="2961"/>
    <n v="0.68719025300000003"/>
    <n v="0.601498372"/>
    <n v="470"/>
    <n v="3541"/>
    <n v="3"/>
    <n v="0.82143635999999998"/>
    <n v="0.89977701499999996"/>
    <b v="0"/>
    <n v="0.86917416199999997"/>
    <n v="1"/>
    <s v="Dec"/>
    <n v="2026"/>
    <s v="Q4"/>
  </r>
  <r>
    <n v="725"/>
    <x v="724"/>
    <x v="1"/>
    <n v="923"/>
    <n v="1177"/>
    <n v="1303"/>
    <n v="887"/>
    <n v="2193"/>
    <n v="0.39764171700000001"/>
    <n v="2.8043725460000002"/>
    <n v="310"/>
    <n v="3175"/>
    <n v="7"/>
    <n v="0.73198812999999996"/>
    <n v="0.83923171399999996"/>
    <b v="0"/>
    <n v="0.16700735899999999"/>
    <n v="1"/>
    <s v="Dec"/>
    <n v="2026"/>
    <s v="Q4"/>
  </r>
  <r>
    <n v="726"/>
    <x v="725"/>
    <x v="3"/>
    <n v="2534"/>
    <n v="2606"/>
    <n v="3330"/>
    <n v="1434"/>
    <n v="3754"/>
    <n v="0.37543499699999999"/>
    <n v="1.3973436459999999"/>
    <n v="341"/>
    <n v="3725"/>
    <n v="8"/>
    <n v="0.58805928699999999"/>
    <n v="0.89170188900000003"/>
    <b v="0"/>
    <n v="0.49632052300000001"/>
    <n v="1"/>
    <s v="Dec"/>
    <n v="2026"/>
    <s v="Q4"/>
  </r>
  <r>
    <n v="727"/>
    <x v="726"/>
    <x v="2"/>
    <n v="4862"/>
    <n v="676"/>
    <n v="2537"/>
    <n v="3330"/>
    <n v="3739"/>
    <n v="0.484820682"/>
    <n v="2.6926673879999998"/>
    <n v="3176"/>
    <n v="3395"/>
    <n v="3"/>
    <n v="0.78261175199999999"/>
    <n v="0.915732977"/>
    <b v="0"/>
    <n v="0.97219950899999996"/>
    <n v="1"/>
    <s v="Dec"/>
    <n v="2026"/>
    <s v="Q4"/>
  </r>
  <r>
    <n v="728"/>
    <x v="727"/>
    <x v="1"/>
    <n v="557"/>
    <n v="3273"/>
    <n v="3847"/>
    <n v="982"/>
    <n v="2240"/>
    <n v="0.73420327399999996"/>
    <n v="1.4291211610000001"/>
    <n v="3053"/>
    <n v="3409"/>
    <n v="7"/>
    <n v="0.75527666100000002"/>
    <n v="0.90856556499999996"/>
    <b v="0"/>
    <n v="9.2191333E-2"/>
    <n v="1"/>
    <s v="Dec"/>
    <n v="2026"/>
    <s v="Q4"/>
  </r>
  <r>
    <n v="729"/>
    <x v="728"/>
    <x v="3"/>
    <n v="4669"/>
    <n v="1043"/>
    <n v="354"/>
    <n v="4124"/>
    <n v="1609"/>
    <n v="0.50562167499999999"/>
    <n v="1.235652014"/>
    <n v="241"/>
    <n v="1214"/>
    <n v="9"/>
    <n v="1.2160530899999999"/>
    <n v="0.954983841"/>
    <b v="0"/>
    <n v="0.93274734299999995"/>
    <n v="1"/>
    <s v="Dec"/>
    <n v="2026"/>
    <s v="Q4"/>
  </r>
  <r>
    <n v="730"/>
    <x v="729"/>
    <x v="1"/>
    <n v="621"/>
    <n v="2126"/>
    <n v="1628"/>
    <n v="642"/>
    <n v="316"/>
    <n v="0.72577282300000001"/>
    <n v="2.888225598"/>
    <n v="2312"/>
    <n v="168"/>
    <n v="9"/>
    <n v="0.91033083000000004"/>
    <n v="0.92886035099999997"/>
    <b v="0"/>
    <n v="0.10527391699999999"/>
    <n v="1"/>
    <s v="Dec"/>
    <n v="2026"/>
    <s v="Q4"/>
  </r>
  <r>
    <n v="731"/>
    <x v="730"/>
    <x v="2"/>
    <n v="4711"/>
    <n v="4223"/>
    <n v="2206"/>
    <n v="3077"/>
    <n v="2835"/>
    <n v="0.69025741600000001"/>
    <n v="2.4429135120000001"/>
    <n v="389"/>
    <n v="2781"/>
    <n v="5"/>
    <n v="1.7904405510000001"/>
    <n v="0.92689855200000004"/>
    <b v="0"/>
    <n v="0.94133278799999998"/>
    <n v="1"/>
    <s v="Jan"/>
    <n v="2027"/>
    <s v="Q1"/>
  </r>
  <r>
    <n v="732"/>
    <x v="731"/>
    <x v="0"/>
    <n v="3516"/>
    <n v="876"/>
    <n v="2264"/>
    <n v="2926"/>
    <n v="3130"/>
    <n v="0.56042256999999995"/>
    <n v="2.6164332990000001"/>
    <n v="4045"/>
    <n v="2627"/>
    <n v="2"/>
    <n v="0.67190808700000004"/>
    <n v="0.82049064900000002"/>
    <b v="0"/>
    <n v="0.69705641900000004"/>
    <n v="0"/>
    <s v="Jan"/>
    <n v="2027"/>
    <s v="Q1"/>
  </r>
  <r>
    <n v="733"/>
    <x v="732"/>
    <x v="0"/>
    <n v="2557"/>
    <n v="4496"/>
    <n v="3064"/>
    <n v="4813"/>
    <n v="1730"/>
    <n v="0.50875851100000002"/>
    <n v="0.62845145400000002"/>
    <n v="3486"/>
    <n v="368"/>
    <n v="2"/>
    <n v="0.81863967100000001"/>
    <n v="0.92459218200000004"/>
    <b v="0"/>
    <n v="0.50102207700000001"/>
    <n v="1"/>
    <s v="Jan"/>
    <n v="2027"/>
    <s v="Q1"/>
  </r>
  <r>
    <n v="734"/>
    <x v="733"/>
    <x v="3"/>
    <n v="2108"/>
    <n v="4486"/>
    <n v="1491"/>
    <n v="1111"/>
    <n v="2959"/>
    <n v="0.24039793400000001"/>
    <n v="1.7745890310000001"/>
    <n v="4138"/>
    <n v="257"/>
    <n v="2"/>
    <n v="0.64503178299999997"/>
    <n v="0.86217985100000005"/>
    <b v="0"/>
    <n v="0.40923957500000002"/>
    <n v="1"/>
    <s v="Jan"/>
    <n v="2027"/>
    <s v="Q1"/>
  </r>
  <r>
    <n v="735"/>
    <x v="734"/>
    <x v="3"/>
    <n v="3014"/>
    <n v="3284"/>
    <n v="1222"/>
    <n v="3084"/>
    <n v="2482"/>
    <n v="0.64712086099999999"/>
    <n v="1.407023924"/>
    <n v="4514"/>
    <n v="143"/>
    <n v="6"/>
    <n v="1.6022939540000001"/>
    <n v="0.82593893799999996"/>
    <b v="0"/>
    <n v="0.59443990199999996"/>
    <n v="1"/>
    <s v="Jan"/>
    <n v="2027"/>
    <s v="Q1"/>
  </r>
  <r>
    <n v="736"/>
    <x v="735"/>
    <x v="2"/>
    <n v="3809"/>
    <n v="2844"/>
    <n v="3204"/>
    <n v="2016"/>
    <n v="3836"/>
    <n v="0.55359503899999996"/>
    <n v="0.89570951200000004"/>
    <n v="4775"/>
    <n v="3065"/>
    <n v="2"/>
    <n v="1.311954106"/>
    <n v="0.84033003799999995"/>
    <b v="0"/>
    <n v="0.75695012299999997"/>
    <n v="1"/>
    <s v="Jan"/>
    <n v="2027"/>
    <s v="Q1"/>
  </r>
  <r>
    <n v="737"/>
    <x v="736"/>
    <x v="0"/>
    <n v="3095"/>
    <n v="2825"/>
    <n v="1314"/>
    <n v="3009"/>
    <n v="2230"/>
    <n v="0.67042159899999998"/>
    <n v="2.552836911"/>
    <n v="2378"/>
    <n v="444"/>
    <n v="3"/>
    <n v="0.63015478400000002"/>
    <n v="0.80508895400000002"/>
    <b v="0"/>
    <n v="0.61099754699999997"/>
    <n v="1"/>
    <s v="Jan"/>
    <n v="2027"/>
    <s v="Q1"/>
  </r>
  <r>
    <n v="738"/>
    <x v="737"/>
    <x v="1"/>
    <n v="2509"/>
    <n v="2237"/>
    <n v="2947"/>
    <n v="3847"/>
    <n v="925"/>
    <n v="0.61589872599999995"/>
    <n v="1.0138896719999999"/>
    <n v="3685"/>
    <n v="3803"/>
    <n v="2"/>
    <n v="1.8289162219999999"/>
    <n v="0.87085921300000002"/>
    <b v="0"/>
    <n v="0.49121013899999999"/>
    <n v="1"/>
    <s v="Jan"/>
    <n v="2027"/>
    <s v="Q1"/>
  </r>
  <r>
    <n v="739"/>
    <x v="738"/>
    <x v="3"/>
    <n v="1487"/>
    <n v="2103"/>
    <n v="1185"/>
    <n v="2097"/>
    <n v="1819"/>
    <n v="0.40553647700000001"/>
    <n v="1.4727602420000001"/>
    <n v="821"/>
    <n v="952"/>
    <n v="6"/>
    <n v="1.9325215090000001"/>
    <n v="0.86195969800000005"/>
    <b v="0"/>
    <n v="0.28229762899999999"/>
    <n v="1"/>
    <s v="Jan"/>
    <n v="2027"/>
    <s v="Q1"/>
  </r>
  <r>
    <n v="740"/>
    <x v="739"/>
    <x v="0"/>
    <n v="3687"/>
    <n v="697"/>
    <n v="1596"/>
    <n v="4661"/>
    <n v="1905"/>
    <n v="0.43637056000000002"/>
    <n v="0.77746701299999998"/>
    <n v="3387"/>
    <n v="625"/>
    <n v="7"/>
    <n v="1.50205883"/>
    <n v="0.92349810499999996"/>
    <b v="0"/>
    <n v="0.73201144699999998"/>
    <n v="1"/>
    <s v="Jan"/>
    <n v="2027"/>
    <s v="Q1"/>
  </r>
  <r>
    <n v="741"/>
    <x v="740"/>
    <x v="3"/>
    <n v="2064"/>
    <n v="3712"/>
    <n v="2580"/>
    <n v="3055"/>
    <n v="1845"/>
    <n v="0.79253780600000001"/>
    <n v="1.181900537"/>
    <n v="1027"/>
    <n v="2122"/>
    <n v="5"/>
    <n v="0.65902854"/>
    <n v="0.87767449799999997"/>
    <b v="0"/>
    <n v="0.40024529800000003"/>
    <n v="1"/>
    <s v="Jan"/>
    <n v="2027"/>
    <s v="Q1"/>
  </r>
  <r>
    <n v="742"/>
    <x v="741"/>
    <x v="3"/>
    <n v="1970"/>
    <n v="870"/>
    <n v="495"/>
    <n v="4312"/>
    <n v="3855"/>
    <n v="0.53426671199999998"/>
    <n v="2.847612818"/>
    <n v="458"/>
    <n v="2471"/>
    <n v="2"/>
    <n v="1.546703556"/>
    <n v="0.87387086300000005"/>
    <b v="0"/>
    <n v="0.38103025299999999"/>
    <n v="1"/>
    <s v="Jan"/>
    <n v="2027"/>
    <s v="Q1"/>
  </r>
  <r>
    <n v="743"/>
    <x v="742"/>
    <x v="3"/>
    <n v="3914"/>
    <n v="907"/>
    <n v="499"/>
    <n v="4007"/>
    <n v="1084"/>
    <n v="0.426373053"/>
    <n v="1.5601931769999999"/>
    <n v="3319"/>
    <n v="3737"/>
    <n v="9"/>
    <n v="0.75246534399999998"/>
    <n v="0.87534279699999995"/>
    <b v="0"/>
    <n v="0.77841373700000005"/>
    <n v="1"/>
    <s v="Jan"/>
    <n v="2027"/>
    <s v="Q1"/>
  </r>
  <r>
    <n v="744"/>
    <x v="743"/>
    <x v="1"/>
    <n v="2951"/>
    <n v="2670"/>
    <n v="1560"/>
    <n v="4066"/>
    <n v="1905"/>
    <n v="0.34911858200000001"/>
    <n v="1.621114296"/>
    <n v="1126"/>
    <n v="1781"/>
    <n v="6"/>
    <n v="1.722967812"/>
    <n v="0.85770426300000002"/>
    <b v="0"/>
    <n v="0.58156173300000003"/>
    <n v="1"/>
    <s v="Jan"/>
    <n v="2027"/>
    <s v="Q1"/>
  </r>
  <r>
    <n v="745"/>
    <x v="744"/>
    <x v="3"/>
    <n v="3196"/>
    <n v="2128"/>
    <n v="1157"/>
    <n v="4481"/>
    <n v="507"/>
    <n v="0.44615768099999997"/>
    <n v="2.230949099"/>
    <n v="3261"/>
    <n v="521"/>
    <n v="8"/>
    <n v="1.4935082550000001"/>
    <n v="0.93178601599999999"/>
    <b v="0"/>
    <n v="0.63164350000000002"/>
    <n v="1"/>
    <s v="Jan"/>
    <n v="2027"/>
    <s v="Q1"/>
  </r>
  <r>
    <n v="746"/>
    <x v="745"/>
    <x v="3"/>
    <n v="4916"/>
    <n v="1451"/>
    <n v="816"/>
    <n v="3863"/>
    <n v="220"/>
    <n v="0.56993602200000004"/>
    <n v="1.630206008"/>
    <n v="1054"/>
    <n v="887"/>
    <n v="3"/>
    <n v="1.456417042"/>
    <n v="0.86016952300000005"/>
    <b v="0"/>
    <n v="0.98323793900000001"/>
    <n v="1"/>
    <s v="Jan"/>
    <n v="2027"/>
    <s v="Q1"/>
  </r>
  <r>
    <n v="747"/>
    <x v="746"/>
    <x v="3"/>
    <n v="141"/>
    <n v="3991"/>
    <n v="2070"/>
    <n v="3367"/>
    <n v="815"/>
    <n v="0.43107630699999999"/>
    <n v="1.5876540530000001"/>
    <n v="2527"/>
    <n v="2897"/>
    <n v="8"/>
    <n v="1.436715674"/>
    <n v="0.86135109799999998"/>
    <b v="0"/>
    <n v="7.1545380000000002E-3"/>
    <n v="1"/>
    <s v="Jan"/>
    <n v="2027"/>
    <s v="Q1"/>
  </r>
  <r>
    <n v="748"/>
    <x v="747"/>
    <x v="3"/>
    <n v="4375"/>
    <n v="1672"/>
    <n v="936"/>
    <n v="4137"/>
    <n v="1893"/>
    <n v="0.31432267699999999"/>
    <n v="0.96392027000000002"/>
    <n v="2737"/>
    <n v="2664"/>
    <n v="7"/>
    <n v="1.3108211059999999"/>
    <n v="0.99381688599999995"/>
    <b v="0"/>
    <n v="0.87264922300000003"/>
    <n v="1"/>
    <s v="Jan"/>
    <n v="2027"/>
    <s v="Q1"/>
  </r>
  <r>
    <n v="749"/>
    <x v="748"/>
    <x v="0"/>
    <n v="3077"/>
    <n v="2646"/>
    <n v="2653"/>
    <n v="2986"/>
    <n v="127"/>
    <n v="0.49399250700000003"/>
    <n v="0.87403062099999995"/>
    <n v="306"/>
    <n v="797"/>
    <n v="5"/>
    <n v="0.73965488400000001"/>
    <n v="0.98736803699999998"/>
    <b v="0"/>
    <n v="0.60731807000000004"/>
    <n v="1"/>
    <s v="Jan"/>
    <n v="2027"/>
    <s v="Q1"/>
  </r>
  <r>
    <n v="750"/>
    <x v="749"/>
    <x v="0"/>
    <n v="4506"/>
    <n v="3480"/>
    <n v="248"/>
    <n v="4552"/>
    <n v="3397"/>
    <n v="0.64802543499999998"/>
    <n v="2.963445273"/>
    <n v="2102"/>
    <n v="447"/>
    <n v="2"/>
    <n v="0.91406516599999998"/>
    <n v="0.88623981900000004"/>
    <b v="0"/>
    <n v="0.89942763699999995"/>
    <n v="1"/>
    <s v="Jan"/>
    <n v="2027"/>
    <s v="Q1"/>
  </r>
  <r>
    <n v="751"/>
    <x v="750"/>
    <x v="1"/>
    <n v="4230"/>
    <n v="3406"/>
    <n v="1712"/>
    <n v="4072"/>
    <n v="549"/>
    <n v="0.33171557400000001"/>
    <n v="1.1526359239999999"/>
    <n v="4743"/>
    <n v="3857"/>
    <n v="6"/>
    <n v="1.4726789410000001"/>
    <n v="0.84083577200000004"/>
    <b v="0"/>
    <n v="0.84300899399999996"/>
    <n v="1"/>
    <s v="Jan"/>
    <n v="2027"/>
    <s v="Q1"/>
  </r>
  <r>
    <n v="752"/>
    <x v="751"/>
    <x v="3"/>
    <n v="3644"/>
    <n v="4241"/>
    <n v="2394"/>
    <n v="3147"/>
    <n v="341"/>
    <n v="0.38869461100000002"/>
    <n v="2.9122052119999999"/>
    <n v="1973"/>
    <n v="3665"/>
    <n v="2"/>
    <n v="0.53169954799999997"/>
    <n v="0.96245638200000005"/>
    <b v="0"/>
    <n v="0.72322158599999997"/>
    <n v="1"/>
    <s v="Jan"/>
    <n v="2027"/>
    <s v="Q1"/>
  </r>
  <r>
    <n v="753"/>
    <x v="752"/>
    <x v="3"/>
    <n v="4050"/>
    <n v="1789"/>
    <n v="3953"/>
    <n v="4787"/>
    <n v="3317"/>
    <n v="0.44007442400000002"/>
    <n v="1.1732808889999999"/>
    <n v="698"/>
    <n v="3670"/>
    <n v="6"/>
    <n v="0.72961766400000005"/>
    <n v="0.86330311599999998"/>
    <b v="0"/>
    <n v="0.80621422700000001"/>
    <n v="1"/>
    <s v="Jan"/>
    <n v="2027"/>
    <s v="Q1"/>
  </r>
  <r>
    <n v="754"/>
    <x v="753"/>
    <x v="0"/>
    <n v="4866"/>
    <n v="2212"/>
    <n v="1481"/>
    <n v="2488"/>
    <n v="3480"/>
    <n v="0.35584346100000003"/>
    <n v="1.312217226"/>
    <n v="2921"/>
    <n v="2180"/>
    <n v="4"/>
    <n v="1.145952895"/>
    <n v="0.88010887100000001"/>
    <b v="0"/>
    <n v="0.97301717099999996"/>
    <n v="1"/>
    <s v="Jan"/>
    <n v="2027"/>
    <s v="Q1"/>
  </r>
  <r>
    <n v="755"/>
    <x v="754"/>
    <x v="0"/>
    <n v="962"/>
    <n v="3780"/>
    <n v="1040"/>
    <n v="691"/>
    <n v="3212"/>
    <n v="0.76382480100000005"/>
    <n v="1.671536103"/>
    <n v="3713"/>
    <n v="1763"/>
    <n v="8"/>
    <n v="0.648229367"/>
    <n v="0.86265564500000003"/>
    <b v="0"/>
    <n v="0.17497955800000001"/>
    <n v="1"/>
    <s v="Jan"/>
    <n v="2027"/>
    <s v="Q1"/>
  </r>
  <r>
    <n v="756"/>
    <x v="755"/>
    <x v="2"/>
    <n v="1927"/>
    <n v="1242"/>
    <n v="3730"/>
    <n v="880"/>
    <n v="2519"/>
    <n v="0.62814768600000004"/>
    <n v="1.355293372"/>
    <n v="4482"/>
    <n v="714"/>
    <n v="7"/>
    <n v="0.57043921500000005"/>
    <n v="0.82461594800000004"/>
    <b v="0"/>
    <n v="0.37224039199999998"/>
    <n v="1"/>
    <s v="Jan"/>
    <n v="2027"/>
    <s v="Q1"/>
  </r>
  <r>
    <n v="757"/>
    <x v="756"/>
    <x v="1"/>
    <n v="2805"/>
    <n v="2991"/>
    <n v="3556"/>
    <n v="3039"/>
    <n v="2453"/>
    <n v="0.26185618199999999"/>
    <n v="2.0359122059999999"/>
    <n v="4897"/>
    <n v="394"/>
    <n v="2"/>
    <n v="1.7705696"/>
    <n v="0.91457460000000002"/>
    <b v="0"/>
    <n v="0.55171708900000005"/>
    <n v="1"/>
    <s v="Jan"/>
    <n v="2027"/>
    <s v="Q1"/>
  </r>
  <r>
    <n v="758"/>
    <x v="757"/>
    <x v="2"/>
    <n v="3692"/>
    <n v="1186"/>
    <n v="2031"/>
    <n v="1049"/>
    <n v="2691"/>
    <n v="0.47794510000000001"/>
    <n v="0.56703462599999999"/>
    <n v="756"/>
    <n v="158"/>
    <n v="4"/>
    <n v="0.59729025099999999"/>
    <n v="0.84936134699999999"/>
    <b v="0"/>
    <n v="0.73303352399999999"/>
    <n v="1"/>
    <s v="Jan"/>
    <n v="2027"/>
    <s v="Q1"/>
  </r>
  <r>
    <n v="759"/>
    <x v="758"/>
    <x v="0"/>
    <n v="436"/>
    <n v="2212"/>
    <n v="1278"/>
    <n v="2571"/>
    <n v="337"/>
    <n v="0.75578349199999995"/>
    <n v="1.144827228"/>
    <n v="4983"/>
    <n v="436"/>
    <n v="5"/>
    <n v="1.328370617"/>
    <n v="0.88867104200000002"/>
    <b v="0"/>
    <n v="6.7457073000000006E-2"/>
    <n v="1"/>
    <s v="Jan"/>
    <n v="2027"/>
    <s v="Q1"/>
  </r>
  <r>
    <n v="760"/>
    <x v="759"/>
    <x v="1"/>
    <n v="2730"/>
    <n v="1060"/>
    <n v="2861"/>
    <n v="642"/>
    <n v="898"/>
    <n v="0.67160617099999997"/>
    <n v="1.582936728"/>
    <n v="3696"/>
    <n v="3696"/>
    <n v="4"/>
    <n v="1.526066811"/>
    <n v="0.91946681100000005"/>
    <b v="0"/>
    <n v="0.53638593599999995"/>
    <n v="1"/>
    <s v="Jan"/>
    <n v="2027"/>
    <s v="Q1"/>
  </r>
  <r>
    <n v="761"/>
    <x v="760"/>
    <x v="3"/>
    <n v="2753"/>
    <n v="4080"/>
    <n v="3277"/>
    <n v="4325"/>
    <n v="2075"/>
    <n v="0.42869459100000001"/>
    <n v="2.5310325900000001"/>
    <n v="199"/>
    <n v="1795"/>
    <n v="5"/>
    <n v="1.086191758"/>
    <n v="0.97860714400000004"/>
    <b v="0"/>
    <n v="0.54108749"/>
    <n v="1"/>
    <s v="Jan"/>
    <n v="2027"/>
    <s v="Q1"/>
  </r>
  <r>
    <n v="762"/>
    <x v="761"/>
    <x v="0"/>
    <n v="3363"/>
    <n v="2653"/>
    <n v="1741"/>
    <n v="478"/>
    <n v="3841"/>
    <n v="0.78827879899999997"/>
    <n v="1.4470066070000001"/>
    <n v="4892"/>
    <n v="2869"/>
    <n v="3"/>
    <n v="0.66922859899999998"/>
    <n v="0.99568727499999998"/>
    <b v="0"/>
    <n v="0.66578086700000005"/>
    <n v="1"/>
    <s v="Feb"/>
    <n v="2027"/>
    <s v="Q1"/>
  </r>
  <r>
    <n v="763"/>
    <x v="762"/>
    <x v="1"/>
    <n v="2148"/>
    <n v="2750"/>
    <n v="3525"/>
    <n v="416"/>
    <n v="1985"/>
    <n v="0.40887633499999998"/>
    <n v="1.932109321"/>
    <n v="122"/>
    <n v="2512"/>
    <n v="5"/>
    <n v="1.6154032389999999"/>
    <n v="0.91464257900000001"/>
    <b v="0"/>
    <n v="0.41741619000000002"/>
    <n v="1"/>
    <s v="Feb"/>
    <n v="2027"/>
    <s v="Q1"/>
  </r>
  <r>
    <n v="764"/>
    <x v="763"/>
    <x v="3"/>
    <n v="2574"/>
    <n v="1945"/>
    <n v="1896"/>
    <n v="813"/>
    <n v="660"/>
    <n v="0.66299279200000005"/>
    <n v="2.1273968440000002"/>
    <n v="4940"/>
    <n v="3468"/>
    <n v="1"/>
    <n v="0.53423625500000005"/>
    <n v="0.960707376"/>
    <b v="1"/>
    <n v="0.50449713799999996"/>
    <n v="1"/>
    <s v="Feb"/>
    <n v="2027"/>
    <s v="Q1"/>
  </r>
  <r>
    <n v="765"/>
    <x v="764"/>
    <x v="2"/>
    <n v="201"/>
    <n v="509"/>
    <n v="3256"/>
    <n v="1038"/>
    <n v="1809"/>
    <n v="0.41233134900000001"/>
    <n v="0.72553227099999995"/>
    <n v="4509"/>
    <n v="670"/>
    <n v="1"/>
    <n v="0.69073991899999998"/>
    <n v="0.82677508799999999"/>
    <b v="0"/>
    <n v="1.9419459999999999E-2"/>
    <n v="1"/>
    <s v="Feb"/>
    <n v="2027"/>
    <s v="Q1"/>
  </r>
  <r>
    <n v="766"/>
    <x v="765"/>
    <x v="3"/>
    <n v="1867"/>
    <n v="2356"/>
    <n v="555"/>
    <n v="2659"/>
    <n v="3244"/>
    <n v="0.69770050299999997"/>
    <n v="0.67034935799999995"/>
    <n v="4489"/>
    <n v="2602"/>
    <n v="7"/>
    <n v="1.999772731"/>
    <n v="0.81002484600000002"/>
    <b v="0"/>
    <n v="0.35997547000000002"/>
    <n v="1"/>
    <s v="Feb"/>
    <n v="2027"/>
    <s v="Q1"/>
  </r>
  <r>
    <n v="767"/>
    <x v="766"/>
    <x v="3"/>
    <n v="535"/>
    <n v="2259"/>
    <n v="1912"/>
    <n v="405"/>
    <n v="3471"/>
    <n v="0.28314472200000002"/>
    <n v="0.52021145899999999"/>
    <n v="3342"/>
    <n v="2844"/>
    <n v="9"/>
    <n v="0.63609205999999996"/>
    <n v="0.80900793500000001"/>
    <b v="0"/>
    <n v="8.7694195000000003E-2"/>
    <n v="1"/>
    <s v="Feb"/>
    <n v="2027"/>
    <s v="Q1"/>
  </r>
  <r>
    <n v="768"/>
    <x v="767"/>
    <x v="3"/>
    <n v="3039"/>
    <n v="1031"/>
    <n v="1930"/>
    <n v="4848"/>
    <n v="818"/>
    <n v="0.48251103099999998"/>
    <n v="2.3768897899999999"/>
    <n v="226"/>
    <n v="868"/>
    <n v="9"/>
    <n v="0.55002792599999994"/>
    <n v="0.80290927300000003"/>
    <b v="0"/>
    <n v="0.59955028600000004"/>
    <n v="1"/>
    <s v="Feb"/>
    <n v="2027"/>
    <s v="Q1"/>
  </r>
  <r>
    <n v="769"/>
    <x v="768"/>
    <x v="1"/>
    <n v="4642"/>
    <n v="1743"/>
    <n v="3866"/>
    <n v="2945"/>
    <n v="2055"/>
    <n v="0.33285252599999998"/>
    <n v="2.8841831500000001"/>
    <n v="2921"/>
    <n v="144"/>
    <n v="1"/>
    <n v="1.8388881269999999"/>
    <n v="0.87025519500000004"/>
    <b v="0"/>
    <n v="0.92722812799999998"/>
    <n v="1"/>
    <s v="Feb"/>
    <n v="2027"/>
    <s v="Q1"/>
  </r>
  <r>
    <n v="770"/>
    <x v="769"/>
    <x v="1"/>
    <n v="697"/>
    <n v="3395"/>
    <n v="965"/>
    <n v="1244"/>
    <n v="301"/>
    <n v="0.48208037500000001"/>
    <n v="1.296276983"/>
    <n v="484"/>
    <n v="565"/>
    <n v="7"/>
    <n v="1.7264178569999999"/>
    <n v="0.81992421199999999"/>
    <b v="0"/>
    <n v="0.12080948499999999"/>
    <n v="1"/>
    <s v="Feb"/>
    <n v="2027"/>
    <s v="Q1"/>
  </r>
  <r>
    <n v="771"/>
    <x v="770"/>
    <x v="0"/>
    <n v="4933"/>
    <n v="593"/>
    <n v="1380"/>
    <n v="4357"/>
    <n v="715"/>
    <n v="0.27614582599999998"/>
    <n v="1.758932237"/>
    <n v="631"/>
    <n v="2835"/>
    <n v="2"/>
    <n v="1.2342341530000001"/>
    <n v="0.88102610000000003"/>
    <b v="0"/>
    <n v="0.98671300100000003"/>
    <n v="1"/>
    <s v="Feb"/>
    <n v="2027"/>
    <s v="Q1"/>
  </r>
  <r>
    <n v="772"/>
    <x v="771"/>
    <x v="1"/>
    <n v="3209"/>
    <n v="2840"/>
    <n v="2834"/>
    <n v="3486"/>
    <n v="519"/>
    <n v="0.414244942"/>
    <n v="0.58529442200000004"/>
    <n v="3423"/>
    <n v="3350"/>
    <n v="1"/>
    <n v="0.66949128499999999"/>
    <n v="0.99441391700000004"/>
    <b v="0"/>
    <n v="0.63430089899999997"/>
    <n v="1"/>
    <s v="Feb"/>
    <n v="2027"/>
    <s v="Q1"/>
  </r>
  <r>
    <n v="773"/>
    <x v="772"/>
    <x v="3"/>
    <n v="2960"/>
    <n v="4290"/>
    <n v="1464"/>
    <n v="3549"/>
    <n v="2533"/>
    <n v="0.34392831099999999"/>
    <n v="1.552105903"/>
    <n v="4294"/>
    <n v="1962"/>
    <n v="4"/>
    <n v="0.53577826699999997"/>
    <n v="0.87483493099999998"/>
    <b v="0"/>
    <n v="0.58340147200000003"/>
    <n v="1"/>
    <s v="Feb"/>
    <n v="2027"/>
    <s v="Q1"/>
  </r>
  <r>
    <n v="774"/>
    <x v="773"/>
    <x v="3"/>
    <n v="314"/>
    <n v="3617"/>
    <n v="2708"/>
    <n v="3536"/>
    <n v="1248"/>
    <n v="0.41146123000000001"/>
    <n v="1.400204894"/>
    <n v="3946"/>
    <n v="3012"/>
    <n v="9"/>
    <n v="1.6022315229999999"/>
    <n v="0.97033115000000003"/>
    <b v="0"/>
    <n v="4.2518396999999999E-2"/>
    <n v="1"/>
    <s v="Feb"/>
    <n v="2027"/>
    <s v="Q1"/>
  </r>
  <r>
    <n v="775"/>
    <x v="774"/>
    <x v="3"/>
    <n v="1870"/>
    <n v="2819"/>
    <n v="1816"/>
    <n v="2856"/>
    <n v="2723"/>
    <n v="0.36514320700000003"/>
    <n v="1.177717339"/>
    <n v="2600"/>
    <n v="3516"/>
    <n v="3"/>
    <n v="1.515374454"/>
    <n v="0.86013304499999998"/>
    <b v="0"/>
    <n v="0.36058871599999998"/>
    <n v="1"/>
    <s v="Feb"/>
    <n v="2027"/>
    <s v="Q1"/>
  </r>
  <r>
    <n v="776"/>
    <x v="775"/>
    <x v="3"/>
    <n v="611"/>
    <n v="2872"/>
    <n v="366"/>
    <n v="2874"/>
    <n v="686"/>
    <n v="0.65148210399999995"/>
    <n v="1.04788554"/>
    <n v="299"/>
    <n v="792"/>
    <n v="2"/>
    <n v="1.2129947000000001"/>
    <n v="0.92616699599999996"/>
    <b v="0"/>
    <n v="0.103229763"/>
    <n v="1"/>
    <s v="Feb"/>
    <n v="2027"/>
    <s v="Q1"/>
  </r>
  <r>
    <n v="777"/>
    <x v="776"/>
    <x v="3"/>
    <n v="440"/>
    <n v="3533"/>
    <n v="488"/>
    <n v="1292"/>
    <n v="3923"/>
    <n v="0.43450068600000002"/>
    <n v="1.7424928930000001"/>
    <n v="4200"/>
    <n v="1444"/>
    <n v="6"/>
    <n v="1.4296042849999999"/>
    <n v="0.88392530800000002"/>
    <b v="0"/>
    <n v="6.8274734000000004E-2"/>
    <n v="1"/>
    <s v="Feb"/>
    <n v="2027"/>
    <s v="Q1"/>
  </r>
  <r>
    <n v="778"/>
    <x v="777"/>
    <x v="2"/>
    <n v="2189"/>
    <n v="1022"/>
    <n v="3966"/>
    <n v="3309"/>
    <n v="667"/>
    <n v="0.59161221399999997"/>
    <n v="2.4453780759999999"/>
    <n v="4952"/>
    <n v="204"/>
    <n v="9"/>
    <n v="0.63217543099999995"/>
    <n v="0.87926794799999997"/>
    <b v="0"/>
    <n v="0.42579721999999998"/>
    <n v="1"/>
    <s v="Feb"/>
    <n v="2027"/>
    <s v="Q1"/>
  </r>
  <r>
    <n v="779"/>
    <x v="778"/>
    <x v="0"/>
    <n v="2200"/>
    <n v="2718"/>
    <n v="3022"/>
    <n v="615"/>
    <n v="2057"/>
    <n v="0.29505309600000001"/>
    <n v="0.85143195999999999"/>
    <n v="1769"/>
    <n v="515"/>
    <n v="6"/>
    <n v="0.75295368600000001"/>
    <n v="0.81411557300000004"/>
    <b v="0"/>
    <n v="0.42804578900000001"/>
    <n v="1"/>
    <s v="Feb"/>
    <n v="2027"/>
    <s v="Q1"/>
  </r>
  <r>
    <n v="780"/>
    <x v="779"/>
    <x v="1"/>
    <n v="2605"/>
    <n v="1569"/>
    <n v="3318"/>
    <n v="2053"/>
    <n v="2959"/>
    <n v="0.44120480099999998"/>
    <n v="1.1584798329999999"/>
    <n v="2396"/>
    <n v="2051"/>
    <n v="6"/>
    <n v="1.079542577"/>
    <n v="0.83431097300000001"/>
    <b v="0"/>
    <n v="0.51083401500000003"/>
    <n v="1"/>
    <s v="Feb"/>
    <n v="2027"/>
    <s v="Q1"/>
  </r>
  <r>
    <n v="781"/>
    <x v="780"/>
    <x v="1"/>
    <n v="444"/>
    <n v="2630"/>
    <n v="2588"/>
    <n v="2392"/>
    <n v="1343"/>
    <n v="0.42689095500000002"/>
    <n v="2.4849830580000001"/>
    <n v="3803"/>
    <n v="2368"/>
    <n v="4"/>
    <n v="0.87061863399999995"/>
    <n v="0.997256331"/>
    <b v="0"/>
    <n v="6.9092396E-2"/>
    <n v="0"/>
    <s v="Feb"/>
    <n v="2027"/>
    <s v="Q1"/>
  </r>
  <r>
    <n v="782"/>
    <x v="781"/>
    <x v="0"/>
    <n v="4500"/>
    <n v="523"/>
    <n v="987"/>
    <n v="3818"/>
    <n v="1156"/>
    <n v="0.45512214499999998"/>
    <n v="1.7249991600000001"/>
    <n v="1656"/>
    <n v="1687"/>
    <n v="2"/>
    <n v="0.908158154"/>
    <n v="0.99726901800000001"/>
    <b v="1"/>
    <n v="0.89820114500000003"/>
    <n v="1"/>
    <s v="Feb"/>
    <n v="2027"/>
    <s v="Q1"/>
  </r>
  <r>
    <n v="783"/>
    <x v="782"/>
    <x v="3"/>
    <n v="4954"/>
    <n v="2483"/>
    <n v="2620"/>
    <n v="2154"/>
    <n v="3707"/>
    <n v="0.38297145900000001"/>
    <n v="1.486109192"/>
    <n v="3730"/>
    <n v="1960"/>
    <n v="7"/>
    <n v="1.726807998"/>
    <n v="0.82802126899999995"/>
    <b v="0"/>
    <n v="0.99100572399999998"/>
    <n v="1"/>
    <s v="Feb"/>
    <n v="2027"/>
    <s v="Q1"/>
  </r>
  <r>
    <n v="784"/>
    <x v="783"/>
    <x v="2"/>
    <n v="984"/>
    <n v="4339"/>
    <n v="3170"/>
    <n v="3700"/>
    <n v="3929"/>
    <n v="0.70299709600000004"/>
    <n v="2.899026155"/>
    <n v="1377"/>
    <n v="3985"/>
    <n v="8"/>
    <n v="1.203275066"/>
    <n v="0.80055369700000001"/>
    <b v="0"/>
    <n v="0.17947669699999999"/>
    <n v="1"/>
    <s v="Feb"/>
    <n v="2027"/>
    <s v="Q1"/>
  </r>
  <r>
    <n v="785"/>
    <x v="784"/>
    <x v="3"/>
    <n v="2295"/>
    <n v="4128"/>
    <n v="3417"/>
    <n v="1547"/>
    <n v="878"/>
    <n v="0.58545373099999998"/>
    <n v="1.6134173270000001"/>
    <n v="1385"/>
    <n v="3804"/>
    <n v="5"/>
    <n v="1.9575144149999999"/>
    <n v="0.85893230899999995"/>
    <b v="0"/>
    <n v="0.44746524900000001"/>
    <n v="1"/>
    <s v="Feb"/>
    <n v="2027"/>
    <s v="Q1"/>
  </r>
  <r>
    <n v="786"/>
    <x v="785"/>
    <x v="1"/>
    <n v="2542"/>
    <n v="2886"/>
    <n v="2544"/>
    <n v="1977"/>
    <n v="417"/>
    <n v="0.47094260599999999"/>
    <n v="1.7759024910000001"/>
    <n v="4312"/>
    <n v="726"/>
    <n v="3"/>
    <n v="1.9546453720000001"/>
    <n v="0.91301464099999996"/>
    <b v="0"/>
    <n v="0.49795584599999998"/>
    <n v="1"/>
    <s v="Feb"/>
    <n v="2027"/>
    <s v="Q1"/>
  </r>
  <r>
    <n v="787"/>
    <x v="786"/>
    <x v="1"/>
    <n v="1827"/>
    <n v="2651"/>
    <n v="2885"/>
    <n v="3675"/>
    <n v="456"/>
    <n v="0.45280895399999999"/>
    <n v="2.468120211"/>
    <n v="1611"/>
    <n v="1369"/>
    <n v="8"/>
    <n v="1.948404574"/>
    <n v="0.88697537800000004"/>
    <b v="0"/>
    <n v="0.35179885500000002"/>
    <n v="1"/>
    <s v="Feb"/>
    <n v="2027"/>
    <s v="Q1"/>
  </r>
  <r>
    <n v="788"/>
    <x v="787"/>
    <x v="3"/>
    <n v="1144"/>
    <n v="4008"/>
    <n v="3622"/>
    <n v="4246"/>
    <n v="2209"/>
    <n v="0.59455950099999999"/>
    <n v="0.77879251400000005"/>
    <n v="2533"/>
    <n v="1549"/>
    <n v="6"/>
    <n v="0.67105280300000003"/>
    <n v="0.90957229699999997"/>
    <b v="0"/>
    <n v="0.21218315600000001"/>
    <n v="1"/>
    <s v="Feb"/>
    <n v="2027"/>
    <s v="Q1"/>
  </r>
  <r>
    <n v="789"/>
    <x v="788"/>
    <x v="0"/>
    <n v="1757"/>
    <n v="2908"/>
    <n v="1860"/>
    <n v="3140"/>
    <n v="422"/>
    <n v="0.26583382999999999"/>
    <n v="0.53326695899999998"/>
    <n v="613"/>
    <n v="646"/>
    <n v="7"/>
    <n v="0.97875530899999996"/>
    <n v="0.91126978599999997"/>
    <b v="0"/>
    <n v="0.33748977899999999"/>
    <n v="1"/>
    <s v="Feb"/>
    <n v="2027"/>
    <s v="Q1"/>
  </r>
  <r>
    <n v="790"/>
    <x v="789"/>
    <x v="0"/>
    <n v="3850"/>
    <n v="862"/>
    <n v="1840"/>
    <n v="4167"/>
    <n v="1611"/>
    <n v="0.31307764900000001"/>
    <n v="1.2294744440000001"/>
    <n v="4641"/>
    <n v="3443"/>
    <n v="6"/>
    <n v="0.85249339400000002"/>
    <n v="0.86543677200000002"/>
    <b v="0"/>
    <n v="0.76533115299999999"/>
    <n v="1"/>
    <s v="Mar"/>
    <n v="2027"/>
    <s v="Q1"/>
  </r>
  <r>
    <n v="791"/>
    <x v="790"/>
    <x v="3"/>
    <n v="1714"/>
    <n v="3102"/>
    <n v="2941"/>
    <n v="3452"/>
    <n v="3363"/>
    <n v="0.630395339"/>
    <n v="2.6656818100000002"/>
    <n v="1713"/>
    <n v="581"/>
    <n v="2"/>
    <n v="0.89500717699999999"/>
    <n v="0.946011936"/>
    <b v="0"/>
    <n v="0.32869991799999998"/>
    <n v="1"/>
    <s v="Mar"/>
    <n v="2027"/>
    <s v="Q1"/>
  </r>
  <r>
    <n v="792"/>
    <x v="791"/>
    <x v="2"/>
    <n v="4929"/>
    <n v="701"/>
    <n v="443"/>
    <n v="689"/>
    <n v="1218"/>
    <n v="0.73050262700000002"/>
    <n v="0.99112051300000004"/>
    <n v="4448"/>
    <n v="1547"/>
    <n v="6"/>
    <n v="1.4507953760000001"/>
    <n v="0.890145136"/>
    <b v="0"/>
    <n v="0.98589533900000004"/>
    <n v="1"/>
    <s v="Mar"/>
    <n v="2027"/>
    <s v="Q1"/>
  </r>
  <r>
    <n v="793"/>
    <x v="792"/>
    <x v="2"/>
    <n v="3784"/>
    <n v="2827"/>
    <n v="205"/>
    <n v="2943"/>
    <n v="962"/>
    <n v="0.386884701"/>
    <n v="2.8426609530000002"/>
    <n v="3117"/>
    <n v="1885"/>
    <n v="1"/>
    <n v="0.95388004699999995"/>
    <n v="0.96649952900000002"/>
    <b v="0"/>
    <n v="0.75183973800000004"/>
    <n v="1"/>
    <s v="Mar"/>
    <n v="2027"/>
    <s v="Q1"/>
  </r>
  <r>
    <n v="794"/>
    <x v="793"/>
    <x v="3"/>
    <n v="3848"/>
    <n v="4116"/>
    <n v="2605"/>
    <n v="2862"/>
    <n v="3476"/>
    <n v="0.65375156999999995"/>
    <n v="2.1769955419999998"/>
    <n v="1807"/>
    <n v="3393"/>
    <n v="8"/>
    <n v="1.7015877580000001"/>
    <n v="0.89997827200000002"/>
    <b v="0"/>
    <n v="0.76492232199999999"/>
    <n v="1"/>
    <s v="Mar"/>
    <n v="2027"/>
    <s v="Q1"/>
  </r>
  <r>
    <n v="795"/>
    <x v="794"/>
    <x v="0"/>
    <n v="3101"/>
    <n v="977"/>
    <n v="3014"/>
    <n v="642"/>
    <n v="2186"/>
    <n v="0.46064812100000002"/>
    <n v="2.528874719"/>
    <n v="501"/>
    <n v="178"/>
    <n v="6"/>
    <n v="1.7398912440000001"/>
    <n v="0.90025106600000004"/>
    <b v="0"/>
    <n v="0.612224039"/>
    <n v="1"/>
    <s v="Mar"/>
    <n v="2027"/>
    <s v="Q1"/>
  </r>
  <r>
    <n v="796"/>
    <x v="795"/>
    <x v="3"/>
    <n v="4416"/>
    <n v="2848"/>
    <n v="1579"/>
    <n v="3439"/>
    <n v="793"/>
    <n v="0.55297813299999998"/>
    <n v="2.0013421450000002"/>
    <n v="4803"/>
    <n v="2937"/>
    <n v="8"/>
    <n v="0.70425323500000003"/>
    <n v="0.86762539500000002"/>
    <b v="0"/>
    <n v="0.88103025300000004"/>
    <n v="1"/>
    <s v="Mar"/>
    <n v="2027"/>
    <s v="Q1"/>
  </r>
  <r>
    <n v="797"/>
    <x v="796"/>
    <x v="2"/>
    <n v="4918"/>
    <n v="1639"/>
    <n v="3493"/>
    <n v="4428"/>
    <n v="1191"/>
    <n v="0.34118754000000001"/>
    <n v="0.50961786899999995"/>
    <n v="183"/>
    <n v="2516"/>
    <n v="2"/>
    <n v="1.401508473"/>
    <n v="0.99827918000000004"/>
    <b v="0"/>
    <n v="0.98364677"/>
    <n v="1"/>
    <s v="Mar"/>
    <n v="2027"/>
    <s v="Q1"/>
  </r>
  <r>
    <n v="798"/>
    <x v="797"/>
    <x v="1"/>
    <n v="1668"/>
    <n v="2758"/>
    <n v="269"/>
    <n v="4194"/>
    <n v="2834"/>
    <n v="0.79749295399999998"/>
    <n v="1.3350567769999999"/>
    <n v="1621"/>
    <n v="1643"/>
    <n v="6"/>
    <n v="1.673491931"/>
    <n v="0.88904868800000003"/>
    <b v="0"/>
    <n v="0.31929681100000001"/>
    <n v="1"/>
    <s v="Mar"/>
    <n v="2027"/>
    <s v="Q1"/>
  </r>
  <r>
    <n v="799"/>
    <x v="798"/>
    <x v="3"/>
    <n v="3659"/>
    <n v="727"/>
    <n v="1541"/>
    <n v="3122"/>
    <n v="3703"/>
    <n v="0.22382592200000001"/>
    <n v="1.344463175"/>
    <n v="465"/>
    <n v="2217"/>
    <n v="7"/>
    <n v="1.8639210909999999"/>
    <n v="0.92255293800000004"/>
    <b v="0"/>
    <n v="0.726287817"/>
    <n v="1"/>
    <s v="Mar"/>
    <n v="2027"/>
    <s v="Q1"/>
  </r>
  <r>
    <n v="800"/>
    <x v="799"/>
    <x v="1"/>
    <n v="4246"/>
    <n v="3294"/>
    <n v="1435"/>
    <n v="2587"/>
    <n v="832"/>
    <n v="0.79842687300000004"/>
    <n v="1.0722398200000001"/>
    <n v="1219"/>
    <n v="1943"/>
    <n v="9"/>
    <n v="1.636961777"/>
    <n v="0.93850657299999996"/>
    <b v="0"/>
    <n v="0.84627964"/>
    <n v="1"/>
    <s v="Mar"/>
    <n v="2027"/>
    <s v="Q1"/>
  </r>
  <r>
    <n v="801"/>
    <x v="800"/>
    <x v="2"/>
    <n v="199"/>
    <n v="3081"/>
    <n v="3130"/>
    <n v="3506"/>
    <n v="3887"/>
    <n v="0.78641611499999997"/>
    <n v="2.308451287"/>
    <n v="2823"/>
    <n v="954"/>
    <n v="8"/>
    <n v="1.2482983860000001"/>
    <n v="0.94499845699999996"/>
    <b v="0"/>
    <n v="1.9010630000000001E-2"/>
    <n v="1"/>
    <s v="Mar"/>
    <n v="2027"/>
    <s v="Q1"/>
  </r>
  <r>
    <n v="802"/>
    <x v="801"/>
    <x v="2"/>
    <n v="1515"/>
    <n v="2787"/>
    <n v="836"/>
    <n v="1000"/>
    <n v="2803"/>
    <n v="0.64478453199999997"/>
    <n v="0.90534759399999998"/>
    <n v="3854"/>
    <n v="3306"/>
    <n v="1"/>
    <n v="1.3306392890000001"/>
    <n v="0.898691562"/>
    <b v="0"/>
    <n v="0.28802125899999997"/>
    <n v="1"/>
    <s v="Mar"/>
    <n v="2027"/>
    <s v="Q1"/>
  </r>
  <r>
    <n v="803"/>
    <x v="802"/>
    <x v="2"/>
    <n v="1165"/>
    <n v="2051"/>
    <n v="2322"/>
    <n v="4602"/>
    <n v="439"/>
    <n v="0.52722612999999996"/>
    <n v="1.970585421"/>
    <n v="3376"/>
    <n v="3858"/>
    <n v="7"/>
    <n v="0.88955919699999997"/>
    <n v="0.89066098199999999"/>
    <b v="0"/>
    <n v="0.21647587900000001"/>
    <n v="1"/>
    <s v="Mar"/>
    <n v="2027"/>
    <s v="Q1"/>
  </r>
  <r>
    <n v="804"/>
    <x v="803"/>
    <x v="1"/>
    <n v="686"/>
    <n v="1351"/>
    <n v="2526"/>
    <n v="1898"/>
    <n v="3316"/>
    <n v="0.37786845000000002"/>
    <n v="0.655118266"/>
    <n v="1058"/>
    <n v="1797"/>
    <n v="6"/>
    <n v="1.6022738759999999"/>
    <n v="0.89470074899999996"/>
    <b v="0"/>
    <n v="0.118560916"/>
    <n v="1"/>
    <s v="Mar"/>
    <n v="2027"/>
    <s v="Q1"/>
  </r>
  <r>
    <n v="805"/>
    <x v="804"/>
    <x v="1"/>
    <n v="1686"/>
    <n v="2974"/>
    <n v="690"/>
    <n v="2616"/>
    <n v="1881"/>
    <n v="0.33866287900000003"/>
    <n v="1.584027045"/>
    <n v="3559"/>
    <n v="2846"/>
    <n v="8"/>
    <n v="0.91811497099999995"/>
    <n v="0.98281490400000004"/>
    <b v="0"/>
    <n v="0.322976288"/>
    <n v="1"/>
    <s v="Mar"/>
    <n v="2027"/>
    <s v="Q1"/>
  </r>
  <r>
    <n v="806"/>
    <x v="805"/>
    <x v="0"/>
    <n v="4583"/>
    <n v="2685"/>
    <n v="1394"/>
    <n v="3742"/>
    <n v="1802"/>
    <n v="0.22316393300000001"/>
    <n v="1.6492846860000001"/>
    <n v="3837"/>
    <n v="1335"/>
    <n v="4"/>
    <n v="0.61998826699999998"/>
    <n v="0.89716296699999998"/>
    <b v="0"/>
    <n v="0.91516762100000004"/>
    <n v="1"/>
    <s v="Mar"/>
    <n v="2027"/>
    <s v="Q1"/>
  </r>
  <r>
    <n v="807"/>
    <x v="806"/>
    <x v="0"/>
    <n v="3975"/>
    <n v="3605"/>
    <n v="3432"/>
    <n v="2120"/>
    <n v="439"/>
    <n v="0.36576225499999998"/>
    <n v="2.8465503600000002"/>
    <n v="1211"/>
    <n v="3050"/>
    <n v="2"/>
    <n v="1.4039180280000001"/>
    <n v="0.858421973"/>
    <b v="0"/>
    <n v="0.79088307400000002"/>
    <n v="1"/>
    <s v="Mar"/>
    <n v="2027"/>
    <s v="Q1"/>
  </r>
  <r>
    <n v="808"/>
    <x v="807"/>
    <x v="1"/>
    <n v="2413"/>
    <n v="908"/>
    <n v="203"/>
    <n v="4466"/>
    <n v="1059"/>
    <n v="0.50822503200000002"/>
    <n v="0.51214283400000005"/>
    <n v="185"/>
    <n v="3837"/>
    <n v="4"/>
    <n v="0.68505075999999998"/>
    <n v="0.93213809999999997"/>
    <b v="0"/>
    <n v="0.47158626300000001"/>
    <n v="1"/>
    <s v="Mar"/>
    <n v="2027"/>
    <s v="Q1"/>
  </r>
  <r>
    <n v="809"/>
    <x v="808"/>
    <x v="3"/>
    <n v="3552"/>
    <n v="3588"/>
    <n v="1788"/>
    <n v="4110"/>
    <n v="1361"/>
    <n v="0.68766379399999999"/>
    <n v="2.1940224389999998"/>
    <n v="4221"/>
    <n v="2428"/>
    <n v="3"/>
    <n v="0.57831618500000004"/>
    <n v="0.88407824599999996"/>
    <b v="0"/>
    <n v="0.70441537200000004"/>
    <n v="1"/>
    <s v="Mar"/>
    <n v="2027"/>
    <s v="Q1"/>
  </r>
  <r>
    <n v="810"/>
    <x v="809"/>
    <x v="3"/>
    <n v="2682"/>
    <n v="1958"/>
    <n v="3429"/>
    <n v="2279"/>
    <n v="2775"/>
    <n v="0.222332953"/>
    <n v="0.58097945100000004"/>
    <n v="2878"/>
    <n v="1459"/>
    <n v="2"/>
    <n v="1.8029820990000001"/>
    <n v="0.86211527799999998"/>
    <b v="0"/>
    <n v="0.52657399800000004"/>
    <n v="1"/>
    <s v="Mar"/>
    <n v="2027"/>
    <s v="Q1"/>
  </r>
  <r>
    <n v="811"/>
    <x v="810"/>
    <x v="3"/>
    <n v="1556"/>
    <n v="2169"/>
    <n v="1947"/>
    <n v="3048"/>
    <n v="823"/>
    <n v="0.62715819900000003"/>
    <n v="2.72857035"/>
    <n v="2689"/>
    <n v="3875"/>
    <n v="5"/>
    <n v="1.323618631"/>
    <n v="0.83504858999999998"/>
    <b v="0"/>
    <n v="0.29640228899999999"/>
    <n v="1"/>
    <s v="Mar"/>
    <n v="2027"/>
    <s v="Q1"/>
  </r>
  <r>
    <n v="812"/>
    <x v="811"/>
    <x v="0"/>
    <n v="4203"/>
    <n v="1635"/>
    <n v="1440"/>
    <n v="2231"/>
    <n v="3254"/>
    <n v="0.64305212599999995"/>
    <n v="2.7887250350000001"/>
    <n v="1600"/>
    <n v="1493"/>
    <n v="4"/>
    <n v="0.87105403800000003"/>
    <n v="0.88943185899999999"/>
    <b v="0"/>
    <n v="0.83748977899999999"/>
    <n v="1"/>
    <s v="Mar"/>
    <n v="2027"/>
    <s v="Q1"/>
  </r>
  <r>
    <n v="813"/>
    <x v="812"/>
    <x v="0"/>
    <n v="2783"/>
    <n v="1100"/>
    <n v="919"/>
    <n v="2980"/>
    <n v="2162"/>
    <n v="0.39495909000000001"/>
    <n v="2.7073491590000001"/>
    <n v="3263"/>
    <n v="3708"/>
    <n v="4"/>
    <n v="0.55473204300000001"/>
    <n v="0.82915629300000004"/>
    <b v="0"/>
    <n v="0.54721995099999998"/>
    <n v="1"/>
    <s v="Mar"/>
    <n v="2027"/>
    <s v="Q1"/>
  </r>
  <r>
    <n v="814"/>
    <x v="813"/>
    <x v="1"/>
    <n v="4940"/>
    <n v="1019"/>
    <n v="3472"/>
    <n v="1939"/>
    <n v="1940"/>
    <n v="0.75049442600000005"/>
    <n v="0.50831489200000002"/>
    <n v="199"/>
    <n v="3968"/>
    <n v="2"/>
    <n v="1.2049601619999999"/>
    <n v="0.85053451400000002"/>
    <b v="0"/>
    <n v="0.98814390799999996"/>
    <n v="1"/>
    <s v="Mar"/>
    <n v="2027"/>
    <s v="Q1"/>
  </r>
  <r>
    <n v="815"/>
    <x v="814"/>
    <x v="2"/>
    <n v="3110"/>
    <n v="2773"/>
    <n v="1032"/>
    <n v="2996"/>
    <n v="1373"/>
    <n v="0.60286167000000002"/>
    <n v="2.0911793589999998"/>
    <n v="897"/>
    <n v="2069"/>
    <n v="3"/>
    <n v="0.64116619399999997"/>
    <n v="0.83115930699999996"/>
    <b v="0"/>
    <n v="0.614063778"/>
    <n v="1"/>
    <s v="Mar"/>
    <n v="2027"/>
    <s v="Q1"/>
  </r>
  <r>
    <n v="816"/>
    <x v="815"/>
    <x v="2"/>
    <n v="3454"/>
    <n v="689"/>
    <n v="3628"/>
    <n v="4893"/>
    <n v="1283"/>
    <n v="0.588229"/>
    <n v="2.9378831719999998"/>
    <n v="2602"/>
    <n v="675"/>
    <n v="9"/>
    <n v="1.1687551469999999"/>
    <n v="0.82174108400000001"/>
    <b v="0"/>
    <n v="0.68438266599999997"/>
    <n v="1"/>
    <s v="Mar"/>
    <n v="2027"/>
    <s v="Q1"/>
  </r>
  <r>
    <n v="817"/>
    <x v="816"/>
    <x v="2"/>
    <n v="268"/>
    <n v="2303"/>
    <n v="3645"/>
    <n v="2841"/>
    <n v="2733"/>
    <n v="0.45018372000000001"/>
    <n v="0.50188896100000002"/>
    <n v="868"/>
    <n v="3539"/>
    <n v="4"/>
    <n v="1.7216097930000001"/>
    <n v="0.979448349"/>
    <b v="0"/>
    <n v="3.3115289999999999E-2"/>
    <n v="1"/>
    <s v="Mar"/>
    <n v="2027"/>
    <s v="Q1"/>
  </r>
  <r>
    <n v="818"/>
    <x v="817"/>
    <x v="2"/>
    <n v="2887"/>
    <n v="4158"/>
    <n v="1050"/>
    <n v="1750"/>
    <n v="3516"/>
    <n v="0.58421805900000001"/>
    <n v="2.9977937400000001"/>
    <n v="4999"/>
    <n v="1909"/>
    <n v="5"/>
    <n v="1.200437051"/>
    <n v="0.96201622600000003"/>
    <b v="0"/>
    <n v="0.56847915000000004"/>
    <n v="0"/>
    <s v="Mar"/>
    <n v="2027"/>
    <s v="Q1"/>
  </r>
  <r>
    <n v="819"/>
    <x v="818"/>
    <x v="1"/>
    <n v="1643"/>
    <n v="2612"/>
    <n v="1278"/>
    <n v="3855"/>
    <n v="231"/>
    <n v="0.56537700800000001"/>
    <n v="2.1321486420000002"/>
    <n v="143"/>
    <n v="3902"/>
    <n v="5"/>
    <n v="1.7325963680000001"/>
    <n v="0.98408907000000001"/>
    <b v="0"/>
    <n v="0.31418642699999999"/>
    <n v="1"/>
    <s v="Mar"/>
    <n v="2027"/>
    <s v="Q1"/>
  </r>
  <r>
    <n v="820"/>
    <x v="819"/>
    <x v="3"/>
    <n v="3491"/>
    <n v="1159"/>
    <n v="1388"/>
    <n v="3556"/>
    <n v="1603"/>
    <n v="0.37808675000000003"/>
    <n v="2.0300623340000001"/>
    <n v="3323"/>
    <n v="846"/>
    <n v="8"/>
    <n v="1.266671313"/>
    <n v="0.83112043599999996"/>
    <b v="0"/>
    <n v="0.69194603399999999"/>
    <n v="1"/>
    <s v="Mar"/>
    <n v="2027"/>
    <s v="Q1"/>
  </r>
  <r>
    <n v="821"/>
    <x v="820"/>
    <x v="1"/>
    <n v="3228"/>
    <n v="810"/>
    <n v="1854"/>
    <n v="1797"/>
    <n v="483"/>
    <n v="0.57869294800000004"/>
    <n v="1.8910602919999999"/>
    <n v="4212"/>
    <n v="1154"/>
    <n v="5"/>
    <n v="0.51415968300000003"/>
    <n v="0.88000885699999998"/>
    <b v="0"/>
    <n v="0.63818479100000003"/>
    <n v="1"/>
    <s v="Apr"/>
    <n v="2027"/>
    <s v="Q2"/>
  </r>
  <r>
    <n v="822"/>
    <x v="821"/>
    <x v="3"/>
    <n v="2902"/>
    <n v="2437"/>
    <n v="945"/>
    <n v="1542"/>
    <n v="1754"/>
    <n v="0.65626888999999999"/>
    <n v="1.8168244609999999"/>
    <n v="3093"/>
    <n v="3202"/>
    <n v="5"/>
    <n v="0.86702195599999998"/>
    <n v="0.917347197"/>
    <b v="1"/>
    <n v="0.57154537999999999"/>
    <n v="1"/>
    <s v="Apr"/>
    <n v="2027"/>
    <s v="Q2"/>
  </r>
  <r>
    <n v="823"/>
    <x v="822"/>
    <x v="2"/>
    <n v="1502"/>
    <n v="2615"/>
    <n v="3484"/>
    <n v="1344"/>
    <n v="431"/>
    <n v="0.68155439299999998"/>
    <n v="0.52356442599999997"/>
    <n v="4959"/>
    <n v="2085"/>
    <n v="1"/>
    <n v="0.93533033600000004"/>
    <n v="0.849335862"/>
    <b v="0"/>
    <n v="0.285363859"/>
    <n v="1"/>
    <s v="Apr"/>
    <n v="2027"/>
    <s v="Q2"/>
  </r>
  <r>
    <n v="824"/>
    <x v="823"/>
    <x v="0"/>
    <n v="3677"/>
    <n v="3031"/>
    <n v="980"/>
    <n v="2237"/>
    <n v="3422"/>
    <n v="0.29143165100000001"/>
    <n v="0.68093951799999997"/>
    <n v="792"/>
    <n v="138"/>
    <n v="1"/>
    <n v="1.6724544859999999"/>
    <n v="0.91655001300000005"/>
    <b v="1"/>
    <n v="0.72996729400000004"/>
    <n v="1"/>
    <s v="Apr"/>
    <n v="2027"/>
    <s v="Q2"/>
  </r>
  <r>
    <n v="825"/>
    <x v="824"/>
    <x v="2"/>
    <n v="4062"/>
    <n v="3812"/>
    <n v="3103"/>
    <n v="4091"/>
    <n v="1005"/>
    <n v="0.56148259"/>
    <n v="2.6238961299999999"/>
    <n v="4214"/>
    <n v="2054"/>
    <n v="6"/>
    <n v="0.53311729299999999"/>
    <n v="0.82005467399999998"/>
    <b v="0"/>
    <n v="0.80866721200000002"/>
    <n v="1"/>
    <s v="Apr"/>
    <n v="2027"/>
    <s v="Q2"/>
  </r>
  <r>
    <n v="826"/>
    <x v="825"/>
    <x v="3"/>
    <n v="3430"/>
    <n v="2402"/>
    <n v="2012"/>
    <n v="1267"/>
    <n v="2321"/>
    <n v="0.60762909499999995"/>
    <n v="2.2814873119999999"/>
    <n v="4326"/>
    <n v="722"/>
    <n v="7"/>
    <n v="0.90148277300000001"/>
    <n v="0.94845156200000003"/>
    <b v="0"/>
    <n v="0.67947669700000002"/>
    <n v="1"/>
    <s v="Apr"/>
    <n v="2027"/>
    <s v="Q2"/>
  </r>
  <r>
    <n v="827"/>
    <x v="826"/>
    <x v="2"/>
    <n v="984"/>
    <n v="1689"/>
    <n v="2985"/>
    <n v="1902"/>
    <n v="3902"/>
    <n v="0.24168178400000001"/>
    <n v="0.53763384400000003"/>
    <n v="2359"/>
    <n v="886"/>
    <n v="4"/>
    <n v="0.50303640000000005"/>
    <n v="0.94778208900000005"/>
    <b v="0"/>
    <n v="0.17947669699999999"/>
    <n v="1"/>
    <s v="Apr"/>
    <n v="2027"/>
    <s v="Q2"/>
  </r>
  <r>
    <n v="828"/>
    <x v="827"/>
    <x v="0"/>
    <n v="2209"/>
    <n v="3701"/>
    <n v="2046"/>
    <n v="651"/>
    <n v="574"/>
    <n v="0.288572253"/>
    <n v="2.30202756"/>
    <n v="1644"/>
    <n v="1582"/>
    <n v="4"/>
    <n v="0.53759500100000002"/>
    <n v="0.94163856800000001"/>
    <b v="0"/>
    <n v="0.42988552699999999"/>
    <n v="1"/>
    <s v="Apr"/>
    <n v="2027"/>
    <s v="Q2"/>
  </r>
  <r>
    <n v="829"/>
    <x v="828"/>
    <x v="0"/>
    <n v="1662"/>
    <n v="2768"/>
    <n v="2574"/>
    <n v="1999"/>
    <n v="559"/>
    <n v="0.57528232400000001"/>
    <n v="1.798793809"/>
    <n v="4350"/>
    <n v="983"/>
    <n v="9"/>
    <n v="1.5592344279999999"/>
    <n v="0.89693785299999995"/>
    <b v="0"/>
    <n v="0.31807031899999999"/>
    <n v="1"/>
    <s v="Apr"/>
    <n v="2027"/>
    <s v="Q2"/>
  </r>
  <r>
    <n v="830"/>
    <x v="829"/>
    <x v="0"/>
    <n v="2592"/>
    <n v="4420"/>
    <n v="3367"/>
    <n v="618"/>
    <n v="2064"/>
    <n v="0.75992329700000005"/>
    <n v="2.98818516"/>
    <n v="876"/>
    <n v="3282"/>
    <n v="8"/>
    <n v="1.4888207790000001"/>
    <n v="0.90570321600000003"/>
    <b v="0"/>
    <n v="0.508176615"/>
    <n v="1"/>
    <s v="Apr"/>
    <n v="2027"/>
    <s v="Q2"/>
  </r>
  <r>
    <n v="831"/>
    <x v="830"/>
    <x v="3"/>
    <n v="2476"/>
    <n v="1036"/>
    <n v="3114"/>
    <n v="3145"/>
    <n v="1565"/>
    <n v="0.650451322"/>
    <n v="2.5119760329999998"/>
    <n v="3647"/>
    <n v="3219"/>
    <n v="5"/>
    <n v="0.98428986100000004"/>
    <n v="0.88755121800000003"/>
    <b v="0"/>
    <n v="0.484464432"/>
    <n v="1"/>
    <s v="Apr"/>
    <n v="2027"/>
    <s v="Q2"/>
  </r>
  <r>
    <n v="832"/>
    <x v="831"/>
    <x v="0"/>
    <n v="2156"/>
    <n v="1809"/>
    <n v="1643"/>
    <n v="1225"/>
    <n v="2949"/>
    <n v="0.78422442599999997"/>
    <n v="2.5445265969999999"/>
    <n v="2047"/>
    <n v="2133"/>
    <n v="4"/>
    <n v="1.757546257"/>
    <n v="0.88061203300000002"/>
    <b v="0"/>
    <n v="0.41905151299999999"/>
    <n v="1"/>
    <s v="Apr"/>
    <n v="2027"/>
    <s v="Q2"/>
  </r>
  <r>
    <n v="833"/>
    <x v="832"/>
    <x v="0"/>
    <n v="512"/>
    <n v="1086"/>
    <n v="2224"/>
    <n v="4701"/>
    <n v="1150"/>
    <n v="0.55979245799999999"/>
    <n v="2.1605413699999998"/>
    <n v="1078"/>
    <n v="706"/>
    <n v="3"/>
    <n v="1.666523811"/>
    <n v="0.82318856900000004"/>
    <b v="0"/>
    <n v="8.2992641000000006E-2"/>
    <n v="1"/>
    <s v="Apr"/>
    <n v="2027"/>
    <s v="Q2"/>
  </r>
  <r>
    <n v="834"/>
    <x v="833"/>
    <x v="0"/>
    <n v="4293"/>
    <n v="3095"/>
    <n v="3670"/>
    <n v="2705"/>
    <n v="1468"/>
    <n v="0.301147779"/>
    <n v="1.5440365620000001"/>
    <n v="1203"/>
    <n v="1871"/>
    <n v="9"/>
    <n v="0.80972739400000004"/>
    <n v="0.88452490500000003"/>
    <b v="0"/>
    <n v="0.85588716300000001"/>
    <n v="1"/>
    <s v="Apr"/>
    <n v="2027"/>
    <s v="Q2"/>
  </r>
  <r>
    <n v="835"/>
    <x v="834"/>
    <x v="1"/>
    <n v="3827"/>
    <n v="3851"/>
    <n v="1728"/>
    <n v="3320"/>
    <n v="1830"/>
    <n v="0.36084522000000002"/>
    <n v="1.5563791549999999"/>
    <n v="2892"/>
    <n v="860"/>
    <n v="1"/>
    <n v="1.924210862"/>
    <n v="0.96740738400000004"/>
    <b v="0"/>
    <n v="0.76062959900000005"/>
    <n v="1"/>
    <s v="Apr"/>
    <n v="2027"/>
    <s v="Q2"/>
  </r>
  <r>
    <n v="836"/>
    <x v="835"/>
    <x v="2"/>
    <n v="4526"/>
    <n v="2622"/>
    <n v="877"/>
    <n v="461"/>
    <n v="2086"/>
    <n v="0.77801699499999999"/>
    <n v="1.0689661779999999"/>
    <n v="4606"/>
    <n v="3515"/>
    <n v="1"/>
    <n v="0.657383359"/>
    <n v="0.92069219700000005"/>
    <b v="0"/>
    <n v="0.90351594400000002"/>
    <n v="1"/>
    <s v="Apr"/>
    <n v="2027"/>
    <s v="Q2"/>
  </r>
  <r>
    <n v="837"/>
    <x v="836"/>
    <x v="1"/>
    <n v="252"/>
    <n v="980"/>
    <n v="1169"/>
    <n v="3785"/>
    <n v="530"/>
    <n v="0.73744633800000003"/>
    <n v="2.0926176249999999"/>
    <n v="1424"/>
    <n v="3892"/>
    <n v="9"/>
    <n v="1.132001899"/>
    <n v="0.86966346699999997"/>
    <b v="0"/>
    <n v="2.9844644E-2"/>
    <n v="1"/>
    <s v="Apr"/>
    <n v="2027"/>
    <s v="Q2"/>
  </r>
  <r>
    <n v="838"/>
    <x v="837"/>
    <x v="3"/>
    <n v="1860"/>
    <n v="1817"/>
    <n v="622"/>
    <n v="4110"/>
    <n v="1727"/>
    <n v="0.41028874999999998"/>
    <n v="0.63527966499999999"/>
    <n v="1477"/>
    <n v="410"/>
    <n v="1"/>
    <n v="0.812943317"/>
    <n v="0.93370936500000001"/>
    <b v="0"/>
    <n v="0.35854456299999998"/>
    <n v="1"/>
    <s v="Apr"/>
    <n v="2027"/>
    <s v="Q2"/>
  </r>
  <r>
    <n v="839"/>
    <x v="838"/>
    <x v="1"/>
    <n v="4115"/>
    <n v="3706"/>
    <n v="444"/>
    <n v="3540"/>
    <n v="3621"/>
    <n v="0.46853191799999999"/>
    <n v="1.8820120199999999"/>
    <n v="2103"/>
    <n v="641"/>
    <n v="8"/>
    <n v="1.8548922670000001"/>
    <n v="0.844247988"/>
    <b v="0"/>
    <n v="0.81950122599999997"/>
    <n v="1"/>
    <s v="Apr"/>
    <n v="2027"/>
    <s v="Q2"/>
  </r>
  <r>
    <n v="840"/>
    <x v="839"/>
    <x v="1"/>
    <n v="4495"/>
    <n v="908"/>
    <n v="2031"/>
    <n v="1823"/>
    <n v="808"/>
    <n v="0.27232334699999999"/>
    <n v="2.199677281"/>
    <n v="1662"/>
    <n v="1092"/>
    <n v="6"/>
    <n v="0.758013257"/>
    <n v="0.95162354400000004"/>
    <b v="0"/>
    <n v="0.89717906800000002"/>
    <n v="1"/>
    <s v="Apr"/>
    <n v="2027"/>
    <s v="Q2"/>
  </r>
  <r>
    <n v="841"/>
    <x v="840"/>
    <x v="0"/>
    <n v="4676"/>
    <n v="2110"/>
    <n v="3885"/>
    <n v="912"/>
    <n v="3606"/>
    <n v="0.389771335"/>
    <n v="2.5111897409999999"/>
    <n v="4518"/>
    <n v="422"/>
    <n v="3"/>
    <n v="0.600425757"/>
    <n v="0.81083231200000006"/>
    <b v="0"/>
    <n v="0.93417824999999999"/>
    <n v="1"/>
    <s v="Apr"/>
    <n v="2027"/>
    <s v="Q2"/>
  </r>
  <r>
    <n v="842"/>
    <x v="841"/>
    <x v="3"/>
    <n v="702"/>
    <n v="1035"/>
    <n v="1257"/>
    <n v="1309"/>
    <n v="2265"/>
    <n v="0.61700655999999998"/>
    <n v="2.1528157430000001"/>
    <n v="343"/>
    <n v="355"/>
    <n v="8"/>
    <n v="1.227090016"/>
    <n v="0.83163927100000001"/>
    <b v="0"/>
    <n v="0.121831562"/>
    <n v="1"/>
    <s v="Apr"/>
    <n v="2027"/>
    <s v="Q2"/>
  </r>
  <r>
    <n v="843"/>
    <x v="842"/>
    <x v="3"/>
    <n v="1983"/>
    <n v="575"/>
    <n v="2593"/>
    <n v="3591"/>
    <n v="2443"/>
    <n v="0.41807851299999998"/>
    <n v="1.741868"/>
    <n v="4441"/>
    <n v="1632"/>
    <n v="2"/>
    <n v="1.145965573"/>
    <n v="0.85809873000000003"/>
    <b v="0"/>
    <n v="0.38368765300000002"/>
    <n v="1"/>
    <s v="Apr"/>
    <n v="2027"/>
    <s v="Q2"/>
  </r>
  <r>
    <n v="844"/>
    <x v="843"/>
    <x v="2"/>
    <n v="2971"/>
    <n v="1785"/>
    <n v="2139"/>
    <n v="861"/>
    <n v="2811"/>
    <n v="0.30516938599999999"/>
    <n v="0.75944020099999998"/>
    <n v="236"/>
    <n v="3083"/>
    <n v="2"/>
    <n v="1.170109093"/>
    <n v="0.89075773499999999"/>
    <b v="0"/>
    <n v="0.58565004099999995"/>
    <n v="1"/>
    <s v="Apr"/>
    <n v="2027"/>
    <s v="Q2"/>
  </r>
  <r>
    <n v="845"/>
    <x v="844"/>
    <x v="1"/>
    <n v="348"/>
    <n v="3849"/>
    <n v="623"/>
    <n v="4359"/>
    <n v="511"/>
    <n v="0.59877909799999995"/>
    <n v="1.3235611190000001"/>
    <n v="1612"/>
    <n v="1403"/>
    <n v="9"/>
    <n v="1.114899066"/>
    <n v="0.82213767299999996"/>
    <b v="0"/>
    <n v="4.9468520000000002E-2"/>
    <n v="1"/>
    <s v="Apr"/>
    <n v="2027"/>
    <s v="Q2"/>
  </r>
  <r>
    <n v="846"/>
    <x v="845"/>
    <x v="0"/>
    <n v="577"/>
    <n v="2486"/>
    <n v="3191"/>
    <n v="589"/>
    <n v="1821"/>
    <n v="0.77354454900000003"/>
    <n v="0.712339202"/>
    <n v="2064"/>
    <n v="3853"/>
    <n v="8"/>
    <n v="0.98775516299999999"/>
    <n v="0.86812618399999997"/>
    <b v="0"/>
    <n v="9.627964E-2"/>
    <n v="1"/>
    <s v="Apr"/>
    <n v="2027"/>
    <s v="Q2"/>
  </r>
  <r>
    <n v="847"/>
    <x v="846"/>
    <x v="3"/>
    <n v="3698"/>
    <n v="4204"/>
    <n v="3506"/>
    <n v="1680"/>
    <n v="3548"/>
    <n v="0.52180522399999996"/>
    <n v="2.1775006389999998"/>
    <n v="1064"/>
    <n v="917"/>
    <n v="8"/>
    <n v="1.382572659"/>
    <n v="0.92767381999999998"/>
    <b v="0"/>
    <n v="0.73426001600000002"/>
    <n v="0"/>
    <s v="Apr"/>
    <n v="2027"/>
    <s v="Q2"/>
  </r>
  <r>
    <n v="848"/>
    <x v="847"/>
    <x v="2"/>
    <n v="1063"/>
    <n v="4460"/>
    <n v="986"/>
    <n v="3094"/>
    <n v="2753"/>
    <n v="0.59922827899999997"/>
    <n v="2.0781501279999999"/>
    <n v="3701"/>
    <n v="512"/>
    <n v="1"/>
    <n v="1.623152725"/>
    <n v="0.88308130399999996"/>
    <b v="0"/>
    <n v="0.195625511"/>
    <n v="1"/>
    <s v="Apr"/>
    <n v="2027"/>
    <s v="Q2"/>
  </r>
  <r>
    <n v="849"/>
    <x v="848"/>
    <x v="3"/>
    <n v="2147"/>
    <n v="3980"/>
    <n v="1414"/>
    <n v="1525"/>
    <n v="2604"/>
    <n v="0.33653794500000001"/>
    <n v="2.0157390629999998"/>
    <n v="388"/>
    <n v="1437"/>
    <n v="6"/>
    <n v="0.63405471300000005"/>
    <n v="0.98995351399999998"/>
    <b v="0"/>
    <n v="0.41721177399999998"/>
    <n v="1"/>
    <s v="Apr"/>
    <n v="2027"/>
    <s v="Q2"/>
  </r>
  <r>
    <n v="850"/>
    <x v="849"/>
    <x v="3"/>
    <n v="2378"/>
    <n v="2333"/>
    <n v="2884"/>
    <n v="532"/>
    <n v="567"/>
    <n v="0.28042444100000002"/>
    <n v="2.9330609409999999"/>
    <n v="285"/>
    <n v="3991"/>
    <n v="8"/>
    <n v="1.3337063870000001"/>
    <n v="0.912471794"/>
    <b v="0"/>
    <n v="0.46443172500000002"/>
    <n v="1"/>
    <s v="Apr"/>
    <n v="2027"/>
    <s v="Q2"/>
  </r>
  <r>
    <n v="851"/>
    <x v="850"/>
    <x v="1"/>
    <n v="4457"/>
    <n v="3589"/>
    <n v="3581"/>
    <n v="3427"/>
    <n v="331"/>
    <n v="0.24834532000000001"/>
    <n v="2.9479804839999999"/>
    <n v="1836"/>
    <n v="2872"/>
    <n v="5"/>
    <n v="1.067416044"/>
    <n v="0.87270096699999999"/>
    <b v="0"/>
    <n v="0.88941128400000002"/>
    <n v="1"/>
    <s v="May"/>
    <n v="2027"/>
    <s v="Q2"/>
  </r>
  <r>
    <n v="852"/>
    <x v="851"/>
    <x v="2"/>
    <n v="4337"/>
    <n v="2413"/>
    <n v="1129"/>
    <n v="2177"/>
    <n v="3242"/>
    <n v="0.342727962"/>
    <n v="1.035468778"/>
    <n v="2210"/>
    <n v="2692"/>
    <n v="3"/>
    <n v="0.61685391300000003"/>
    <n v="0.80861484800000005"/>
    <b v="0"/>
    <n v="0.86488143900000003"/>
    <n v="1"/>
    <s v="May"/>
    <n v="2027"/>
    <s v="Q2"/>
  </r>
  <r>
    <n v="853"/>
    <x v="852"/>
    <x v="0"/>
    <n v="224"/>
    <n v="4045"/>
    <n v="2204"/>
    <n v="562"/>
    <n v="2108"/>
    <n v="0.51310131199999998"/>
    <n v="1.2418383159999999"/>
    <n v="4830"/>
    <n v="857"/>
    <n v="7"/>
    <n v="1.4388764089999999"/>
    <n v="0.97426532200000004"/>
    <b v="0"/>
    <n v="2.4121014E-2"/>
    <n v="0"/>
    <s v="May"/>
    <n v="2027"/>
    <s v="Q2"/>
  </r>
  <r>
    <n v="854"/>
    <x v="853"/>
    <x v="0"/>
    <n v="4998"/>
    <n v="594"/>
    <n v="2158"/>
    <n v="4751"/>
    <n v="1573"/>
    <n v="0.34185468400000002"/>
    <n v="1.8805962620000001"/>
    <n v="4303"/>
    <n v="3130"/>
    <n v="3"/>
    <n v="1.603902967"/>
    <n v="0.92131242800000002"/>
    <b v="0"/>
    <n v="1"/>
    <n v="1"/>
    <s v="May"/>
    <n v="2027"/>
    <s v="Q2"/>
  </r>
  <r>
    <n v="855"/>
    <x v="854"/>
    <x v="3"/>
    <n v="2741"/>
    <n v="1488"/>
    <n v="2775"/>
    <n v="2043"/>
    <n v="2766"/>
    <n v="0.57861868800000005"/>
    <n v="1.553987155"/>
    <n v="3251"/>
    <n v="3007"/>
    <n v="7"/>
    <n v="1.023107993"/>
    <n v="0.97637346000000003"/>
    <b v="0"/>
    <n v="0.53863450499999999"/>
    <n v="1"/>
    <s v="May"/>
    <n v="2027"/>
    <s v="Q2"/>
  </r>
  <r>
    <n v="856"/>
    <x v="855"/>
    <x v="1"/>
    <n v="2654"/>
    <n v="2355"/>
    <n v="2151"/>
    <n v="1307"/>
    <n v="1815"/>
    <n v="0.78787260199999998"/>
    <n v="0.58675875600000005"/>
    <n v="1855"/>
    <n v="1353"/>
    <n v="7"/>
    <n v="0.82377604199999999"/>
    <n v="0.93154353400000001"/>
    <b v="0"/>
    <n v="0.52085036799999995"/>
    <n v="0"/>
    <s v="May"/>
    <n v="2027"/>
    <s v="Q2"/>
  </r>
  <r>
    <n v="857"/>
    <x v="856"/>
    <x v="3"/>
    <n v="2232"/>
    <n v="1260"/>
    <n v="1832"/>
    <n v="1054"/>
    <n v="677"/>
    <n v="0.231304816"/>
    <n v="1.2561620529999999"/>
    <n v="4007"/>
    <n v="1739"/>
    <n v="5"/>
    <n v="1.0597200490000001"/>
    <n v="0.93431925800000004"/>
    <b v="0"/>
    <n v="0.43458708099999999"/>
    <n v="1"/>
    <s v="May"/>
    <n v="2027"/>
    <s v="Q2"/>
  </r>
  <r>
    <n v="858"/>
    <x v="857"/>
    <x v="2"/>
    <n v="2706"/>
    <n v="3353"/>
    <n v="456"/>
    <n v="2440"/>
    <n v="980"/>
    <n v="0.57938870499999995"/>
    <n v="2.6252964090000002"/>
    <n v="2027"/>
    <n v="1105"/>
    <n v="4"/>
    <n v="1.998059378"/>
    <n v="0.84388442500000005"/>
    <b v="0"/>
    <n v="0.531479967"/>
    <n v="1"/>
    <s v="May"/>
    <n v="2027"/>
    <s v="Q2"/>
  </r>
  <r>
    <n v="859"/>
    <x v="858"/>
    <x v="0"/>
    <n v="1462"/>
    <n v="3366"/>
    <n v="3190"/>
    <n v="1304"/>
    <n v="2762"/>
    <n v="0.40161802099999999"/>
    <n v="1.0485442309999999"/>
    <n v="1521"/>
    <n v="3886"/>
    <n v="4"/>
    <n v="1.4973100210000001"/>
    <n v="0.93869100599999999"/>
    <b v="0"/>
    <n v="0.277187244"/>
    <n v="1"/>
    <s v="May"/>
    <n v="2027"/>
    <s v="Q2"/>
  </r>
  <r>
    <n v="860"/>
    <x v="859"/>
    <x v="1"/>
    <n v="3314"/>
    <n v="2741"/>
    <n v="2365"/>
    <n v="4704"/>
    <n v="3975"/>
    <n v="0.32683309900000002"/>
    <n v="0.60785173599999998"/>
    <n v="622"/>
    <n v="2147"/>
    <n v="5"/>
    <n v="1.0659714010000001"/>
    <n v="0.93622289999999997"/>
    <b v="0"/>
    <n v="0.65576451300000005"/>
    <n v="1"/>
    <s v="May"/>
    <n v="2027"/>
    <s v="Q2"/>
  </r>
  <r>
    <n v="861"/>
    <x v="860"/>
    <x v="2"/>
    <n v="4160"/>
    <n v="3870"/>
    <n v="1664"/>
    <n v="2443"/>
    <n v="899"/>
    <n v="0.23924336099999999"/>
    <n v="2.6425556650000002"/>
    <n v="3398"/>
    <n v="2750"/>
    <n v="9"/>
    <n v="1.247395222"/>
    <n v="0.89151314400000004"/>
    <b v="0"/>
    <n v="0.82869991799999998"/>
    <n v="1"/>
    <s v="May"/>
    <n v="2027"/>
    <s v="Q2"/>
  </r>
  <r>
    <n v="862"/>
    <x v="861"/>
    <x v="1"/>
    <n v="3269"/>
    <n v="1038"/>
    <n v="1500"/>
    <n v="2360"/>
    <n v="931"/>
    <n v="0.47937763"/>
    <n v="2.8494882100000001"/>
    <n v="3112"/>
    <n v="1335"/>
    <n v="1"/>
    <n v="0.90013914100000003"/>
    <n v="0.863743445"/>
    <b v="0"/>
    <n v="0.64656582200000001"/>
    <n v="1"/>
    <s v="May"/>
    <n v="2027"/>
    <s v="Q2"/>
  </r>
  <r>
    <n v="863"/>
    <x v="862"/>
    <x v="0"/>
    <n v="4051"/>
    <n v="1602"/>
    <n v="1873"/>
    <n v="4283"/>
    <n v="158"/>
    <n v="0.394775341"/>
    <n v="1.3717516359999999"/>
    <n v="3288"/>
    <n v="412"/>
    <n v="9"/>
    <n v="1.5871987809999999"/>
    <n v="0.866276147"/>
    <b v="0"/>
    <n v="0.80641864299999999"/>
    <n v="1"/>
    <s v="May"/>
    <n v="2027"/>
    <s v="Q2"/>
  </r>
  <r>
    <n v="864"/>
    <x v="863"/>
    <x v="1"/>
    <n v="672"/>
    <n v="4264"/>
    <n v="2017"/>
    <n v="2901"/>
    <n v="1094"/>
    <n v="0.34421871799999998"/>
    <n v="2.008970293"/>
    <n v="3356"/>
    <n v="3478"/>
    <n v="9"/>
    <n v="0.55743207400000006"/>
    <n v="0.82153720299999999"/>
    <b v="0"/>
    <n v="0.115699101"/>
    <n v="1"/>
    <s v="May"/>
    <n v="2027"/>
    <s v="Q2"/>
  </r>
  <r>
    <n v="865"/>
    <x v="864"/>
    <x v="3"/>
    <n v="4858"/>
    <n v="2548"/>
    <n v="2503"/>
    <n v="2361"/>
    <n v="3183"/>
    <n v="0.34484566999999999"/>
    <n v="2.208990666"/>
    <n v="2194"/>
    <n v="2175"/>
    <n v="7"/>
    <n v="0.71375372800000003"/>
    <n v="0.83426468799999998"/>
    <b v="0"/>
    <n v="0.97138184800000005"/>
    <n v="1"/>
    <s v="May"/>
    <n v="2027"/>
    <s v="Q2"/>
  </r>
  <r>
    <n v="866"/>
    <x v="865"/>
    <x v="0"/>
    <n v="2352"/>
    <n v="1076"/>
    <n v="3658"/>
    <n v="1246"/>
    <n v="1769"/>
    <n v="0.74016039099999997"/>
    <n v="2.248463578"/>
    <n v="4234"/>
    <n v="2164"/>
    <n v="2"/>
    <n v="0.60136713900000005"/>
    <n v="0.84371157100000005"/>
    <b v="0"/>
    <n v="0.45911692599999998"/>
    <n v="1"/>
    <s v="May"/>
    <n v="2027"/>
    <s v="Q2"/>
  </r>
  <r>
    <n v="867"/>
    <x v="866"/>
    <x v="0"/>
    <n v="3005"/>
    <n v="3459"/>
    <n v="2894"/>
    <n v="2055"/>
    <n v="3929"/>
    <n v="0.48512275399999999"/>
    <n v="1.7747281150000001"/>
    <n v="3460"/>
    <n v="931"/>
    <n v="6"/>
    <n v="0.82366378200000001"/>
    <n v="0.86615506399999997"/>
    <b v="0"/>
    <n v="0.59260016400000004"/>
    <n v="1"/>
    <s v="May"/>
    <n v="2027"/>
    <s v="Q2"/>
  </r>
  <r>
    <n v="868"/>
    <x v="867"/>
    <x v="0"/>
    <n v="2322"/>
    <n v="762"/>
    <n v="1570"/>
    <n v="1662"/>
    <n v="3975"/>
    <n v="0.58913945999999995"/>
    <n v="0.66949857599999996"/>
    <n v="4293"/>
    <n v="3020"/>
    <n v="3"/>
    <n v="1.012527926"/>
    <n v="0.94453839799999995"/>
    <b v="0"/>
    <n v="0.45298446399999998"/>
    <n v="1"/>
    <s v="May"/>
    <n v="2027"/>
    <s v="Q2"/>
  </r>
  <r>
    <n v="869"/>
    <x v="868"/>
    <x v="3"/>
    <n v="362"/>
    <n v="1057"/>
    <n v="600"/>
    <n v="933"/>
    <n v="1711"/>
    <n v="0.74011371599999998"/>
    <n v="1.1850287450000001"/>
    <n v="3922"/>
    <n v="3025"/>
    <n v="1"/>
    <n v="0.61712566700000004"/>
    <n v="0.93464033099999999"/>
    <b v="0"/>
    <n v="5.2330334999999999E-2"/>
    <n v="1"/>
    <s v="May"/>
    <n v="2027"/>
    <s v="Q2"/>
  </r>
  <r>
    <n v="870"/>
    <x v="869"/>
    <x v="2"/>
    <n v="2089"/>
    <n v="4155"/>
    <n v="434"/>
    <n v="748"/>
    <n v="2191"/>
    <n v="0.26630804299999999"/>
    <n v="1.5942325820000001"/>
    <n v="3197"/>
    <n v="1210"/>
    <n v="7"/>
    <n v="1.232539748"/>
    <n v="0.96302508899999995"/>
    <b v="0"/>
    <n v="0.40535568300000002"/>
    <n v="1"/>
    <s v="May"/>
    <n v="2027"/>
    <s v="Q2"/>
  </r>
  <r>
    <n v="871"/>
    <x v="870"/>
    <x v="3"/>
    <n v="4247"/>
    <n v="2605"/>
    <n v="1240"/>
    <n v="3568"/>
    <n v="2044"/>
    <n v="0.26753471299999998"/>
    <n v="1.399347538"/>
    <n v="3634"/>
    <n v="1802"/>
    <n v="8"/>
    <n v="0.85003808700000005"/>
    <n v="0.95388513500000005"/>
    <b v="0"/>
    <n v="0.84648405599999998"/>
    <n v="1"/>
    <s v="May"/>
    <n v="2027"/>
    <s v="Q2"/>
  </r>
  <r>
    <n v="872"/>
    <x v="871"/>
    <x v="0"/>
    <n v="174"/>
    <n v="2422"/>
    <n v="816"/>
    <n v="2495"/>
    <n v="535"/>
    <n v="0.49108281399999998"/>
    <n v="0.78585886599999999"/>
    <n v="3585"/>
    <n v="2624"/>
    <n v="4"/>
    <n v="1.403781084"/>
    <n v="0.80918391899999997"/>
    <b v="0"/>
    <n v="1.3900245E-2"/>
    <n v="1"/>
    <s v="May"/>
    <n v="2027"/>
    <s v="Q2"/>
  </r>
  <r>
    <n v="873"/>
    <x v="872"/>
    <x v="1"/>
    <n v="4195"/>
    <n v="1713"/>
    <n v="2705"/>
    <n v="2960"/>
    <n v="2840"/>
    <n v="0.222495421"/>
    <n v="2.804535065"/>
    <n v="3903"/>
    <n v="1250"/>
    <n v="3"/>
    <n v="1.171825473"/>
    <n v="0.99336020199999997"/>
    <b v="0"/>
    <n v="0.83585445599999997"/>
    <n v="1"/>
    <s v="May"/>
    <n v="2027"/>
    <s v="Q2"/>
  </r>
  <r>
    <n v="874"/>
    <x v="873"/>
    <x v="0"/>
    <n v="671"/>
    <n v="3131"/>
    <n v="3866"/>
    <n v="1332"/>
    <n v="550"/>
    <n v="0.69876421099999997"/>
    <n v="2.3489390370000001"/>
    <n v="837"/>
    <n v="3170"/>
    <n v="4"/>
    <n v="0.50094976199999997"/>
    <n v="0.935997156"/>
    <b v="0"/>
    <n v="0.115494685"/>
    <n v="1"/>
    <s v="May"/>
    <n v="2027"/>
    <s v="Q2"/>
  </r>
  <r>
    <n v="875"/>
    <x v="874"/>
    <x v="3"/>
    <n v="3083"/>
    <n v="2589"/>
    <n v="743"/>
    <n v="4917"/>
    <n v="3050"/>
    <n v="0.66132119"/>
    <n v="2.9146804959999999"/>
    <n v="4918"/>
    <n v="925"/>
    <n v="8"/>
    <n v="0.64384122799999999"/>
    <n v="0.93978235700000001"/>
    <b v="0"/>
    <n v="0.60854456300000004"/>
    <n v="1"/>
    <s v="May"/>
    <n v="2027"/>
    <s v="Q2"/>
  </r>
  <r>
    <n v="876"/>
    <x v="875"/>
    <x v="0"/>
    <n v="3310"/>
    <n v="1305"/>
    <n v="1075"/>
    <n v="1496"/>
    <n v="2726"/>
    <n v="0.77314875699999996"/>
    <n v="2.638813501"/>
    <n v="3415"/>
    <n v="2357"/>
    <n v="2"/>
    <n v="1.594760747"/>
    <n v="0.85838294599999998"/>
    <b v="0"/>
    <n v="0.65494685200000002"/>
    <n v="1"/>
    <s v="May"/>
    <n v="2027"/>
    <s v="Q2"/>
  </r>
  <r>
    <n v="877"/>
    <x v="876"/>
    <x v="1"/>
    <n v="919"/>
    <n v="3170"/>
    <n v="1870"/>
    <n v="702"/>
    <n v="2980"/>
    <n v="0.20136343500000001"/>
    <n v="2.7105042340000001"/>
    <n v="3054"/>
    <n v="2287"/>
    <n v="5"/>
    <n v="1.7602991290000001"/>
    <n v="0.97421762499999998"/>
    <b v="0"/>
    <n v="0.166189697"/>
    <n v="1"/>
    <s v="May"/>
    <n v="2027"/>
    <s v="Q2"/>
  </r>
  <r>
    <n v="878"/>
    <x v="877"/>
    <x v="2"/>
    <n v="4697"/>
    <n v="4254"/>
    <n v="2112"/>
    <n v="1946"/>
    <n v="511"/>
    <n v="0.47500369100000001"/>
    <n v="0.89511554800000004"/>
    <n v="1739"/>
    <n v="229"/>
    <n v="3"/>
    <n v="1.11828635"/>
    <n v="0.83579528700000005"/>
    <b v="0"/>
    <n v="0.93847097300000004"/>
    <n v="1"/>
    <s v="May"/>
    <n v="2027"/>
    <s v="Q2"/>
  </r>
  <r>
    <n v="879"/>
    <x v="878"/>
    <x v="3"/>
    <n v="4895"/>
    <n v="1339"/>
    <n v="715"/>
    <n v="4485"/>
    <n v="2380"/>
    <n v="0.737501458"/>
    <n v="2.7524495070000001"/>
    <n v="4474"/>
    <n v="2300"/>
    <n v="8"/>
    <n v="1.6576779690000001"/>
    <n v="0.97208817999999997"/>
    <b v="1"/>
    <n v="0.97894521700000003"/>
    <n v="1"/>
    <s v="May"/>
    <n v="2027"/>
    <s v="Q2"/>
  </r>
  <r>
    <n v="880"/>
    <x v="879"/>
    <x v="2"/>
    <n v="699"/>
    <n v="2110"/>
    <n v="3831"/>
    <n v="1121"/>
    <n v="2286"/>
    <n v="0.585208901"/>
    <n v="0.92299746000000005"/>
    <n v="133"/>
    <n v="860"/>
    <n v="8"/>
    <n v="1.3146790559999999"/>
    <n v="0.91240611800000004"/>
    <b v="0"/>
    <n v="0.12121831600000001"/>
    <n v="0"/>
    <s v="May"/>
    <n v="2027"/>
    <s v="Q2"/>
  </r>
  <r>
    <n v="881"/>
    <x v="880"/>
    <x v="2"/>
    <n v="2637"/>
    <n v="1657"/>
    <n v="1175"/>
    <n v="4128"/>
    <n v="1898"/>
    <n v="0.29166685599999997"/>
    <n v="1.592950893"/>
    <n v="3066"/>
    <n v="2614"/>
    <n v="4"/>
    <n v="1.759542889"/>
    <n v="0.83572021600000002"/>
    <b v="1"/>
    <n v="0.51737530700000001"/>
    <n v="1"/>
    <s v="May"/>
    <n v="2027"/>
    <s v="Q2"/>
  </r>
  <r>
    <n v="882"/>
    <x v="881"/>
    <x v="0"/>
    <n v="3501"/>
    <n v="3309"/>
    <n v="1777"/>
    <n v="1185"/>
    <n v="2423"/>
    <n v="0.46312715999999998"/>
    <n v="2.5665482079999999"/>
    <n v="3264"/>
    <n v="3003"/>
    <n v="4"/>
    <n v="1.5818977460000001"/>
    <n v="0.87395191500000002"/>
    <b v="0"/>
    <n v="0.69399018800000001"/>
    <n v="1"/>
    <s v="Jun"/>
    <n v="2027"/>
    <s v="Q2"/>
  </r>
  <r>
    <n v="883"/>
    <x v="882"/>
    <x v="0"/>
    <n v="1877"/>
    <n v="3863"/>
    <n v="3742"/>
    <n v="4022"/>
    <n v="225"/>
    <n v="0.26137464599999999"/>
    <n v="1.5077623170000001"/>
    <n v="1033"/>
    <n v="1109"/>
    <n v="9"/>
    <n v="1.1105395840000001"/>
    <n v="0.84669812300000002"/>
    <b v="0"/>
    <n v="0.36201962399999998"/>
    <n v="1"/>
    <s v="Jun"/>
    <n v="2027"/>
    <s v="Q2"/>
  </r>
  <r>
    <n v="884"/>
    <x v="883"/>
    <x v="1"/>
    <n v="3452"/>
    <n v="622"/>
    <n v="1730"/>
    <n v="757"/>
    <n v="847"/>
    <n v="0.34703139199999999"/>
    <n v="0.85063476599999999"/>
    <n v="4089"/>
    <n v="3441"/>
    <n v="4"/>
    <n v="1.737972088"/>
    <n v="0.91953535799999997"/>
    <b v="0"/>
    <n v="0.68397383499999997"/>
    <n v="1"/>
    <s v="Jun"/>
    <n v="2027"/>
    <s v="Q2"/>
  </r>
  <r>
    <n v="885"/>
    <x v="884"/>
    <x v="3"/>
    <n v="3880"/>
    <n v="3088"/>
    <n v="3213"/>
    <n v="4724"/>
    <n v="2497"/>
    <n v="0.29723321400000002"/>
    <n v="1.7466075089999999"/>
    <n v="1117"/>
    <n v="1494"/>
    <n v="9"/>
    <n v="1.272610158"/>
    <n v="0.97537844100000004"/>
    <b v="0"/>
    <n v="0.77146361399999996"/>
    <n v="1"/>
    <s v="Jun"/>
    <n v="2027"/>
    <s v="Q2"/>
  </r>
  <r>
    <n v="886"/>
    <x v="885"/>
    <x v="3"/>
    <n v="4294"/>
    <n v="2076"/>
    <n v="3155"/>
    <n v="3291"/>
    <n v="3766"/>
    <n v="0.59030800100000003"/>
    <n v="2.5390881699999999"/>
    <n v="900"/>
    <n v="2531"/>
    <n v="3"/>
    <n v="1.554524832"/>
    <n v="0.96665131299999996"/>
    <b v="0"/>
    <n v="0.85609157800000002"/>
    <n v="1"/>
    <s v="Jun"/>
    <n v="2027"/>
    <s v="Q2"/>
  </r>
  <r>
    <n v="887"/>
    <x v="886"/>
    <x v="3"/>
    <n v="4801"/>
    <n v="924"/>
    <n v="460"/>
    <n v="450"/>
    <n v="803"/>
    <n v="0.68957383100000003"/>
    <n v="2.1977598939999998"/>
    <n v="3045"/>
    <n v="1020"/>
    <n v="7"/>
    <n v="1.1532597389999999"/>
    <n v="0.85985542500000001"/>
    <b v="0"/>
    <n v="0.95973017199999999"/>
    <n v="1"/>
    <s v="Jun"/>
    <n v="2027"/>
    <s v="Q2"/>
  </r>
  <r>
    <n v="888"/>
    <x v="887"/>
    <x v="0"/>
    <n v="2370"/>
    <n v="3521"/>
    <n v="1786"/>
    <n v="3155"/>
    <n v="1673"/>
    <n v="0.72920010499999999"/>
    <n v="2.9881959579999999"/>
    <n v="1817"/>
    <n v="3328"/>
    <n v="7"/>
    <n v="0.71797641899999998"/>
    <n v="0.88975987000000001"/>
    <b v="0"/>
    <n v="0.462796402"/>
    <n v="1"/>
    <s v="Jun"/>
    <n v="2027"/>
    <s v="Q2"/>
  </r>
  <r>
    <n v="889"/>
    <x v="888"/>
    <x v="2"/>
    <n v="2285"/>
    <n v="721"/>
    <n v="1775"/>
    <n v="1963"/>
    <n v="2181"/>
    <n v="0.74376341999999995"/>
    <n v="1.826472989"/>
    <n v="3860"/>
    <n v="847"/>
    <n v="4"/>
    <n v="1.9791621319999999"/>
    <n v="0.96855343000000005"/>
    <b v="0"/>
    <n v="0.44542109600000002"/>
    <n v="1"/>
    <s v="Jun"/>
    <n v="2027"/>
    <s v="Q2"/>
  </r>
  <r>
    <n v="890"/>
    <x v="889"/>
    <x v="1"/>
    <n v="1276"/>
    <n v="1179"/>
    <n v="1225"/>
    <n v="1963"/>
    <n v="1604"/>
    <n v="0.39353412500000001"/>
    <n v="1.668033184"/>
    <n v="4711"/>
    <n v="619"/>
    <n v="9"/>
    <n v="0.73431675500000004"/>
    <n v="0.95677430900000004"/>
    <b v="0"/>
    <n v="0.239165985"/>
    <n v="1"/>
    <s v="Jun"/>
    <n v="2027"/>
    <s v="Q2"/>
  </r>
  <r>
    <n v="891"/>
    <x v="890"/>
    <x v="0"/>
    <n v="4573"/>
    <n v="828"/>
    <n v="1468"/>
    <n v="3367"/>
    <n v="2330"/>
    <n v="0.63909520600000003"/>
    <n v="1.532047355"/>
    <n v="2617"/>
    <n v="2074"/>
    <n v="1"/>
    <n v="0.90630091000000002"/>
    <n v="0.91218377100000003"/>
    <b v="0"/>
    <n v="0.91312346700000002"/>
    <n v="1"/>
    <s v="Jun"/>
    <n v="2027"/>
    <s v="Q2"/>
  </r>
  <r>
    <n v="892"/>
    <x v="891"/>
    <x v="3"/>
    <n v="2840"/>
    <n v="1296"/>
    <n v="3783"/>
    <n v="1833"/>
    <n v="3377"/>
    <n v="0.407711726"/>
    <n v="1.384536236"/>
    <n v="4754"/>
    <n v="1306"/>
    <n v="1"/>
    <n v="1.1838270870000001"/>
    <n v="0.87451716000000002"/>
    <b v="0"/>
    <n v="0.55887162700000004"/>
    <n v="1"/>
    <s v="Jun"/>
    <n v="2027"/>
    <s v="Q2"/>
  </r>
  <r>
    <n v="893"/>
    <x v="892"/>
    <x v="3"/>
    <n v="2929"/>
    <n v="3449"/>
    <n v="2017"/>
    <n v="2089"/>
    <n v="3764"/>
    <n v="0.26818591800000002"/>
    <n v="2.383759307"/>
    <n v="121"/>
    <n v="2034"/>
    <n v="3"/>
    <n v="0.85534327600000004"/>
    <n v="0.89758062699999996"/>
    <b v="0"/>
    <n v="0.57706459499999996"/>
    <n v="1"/>
    <s v="Jun"/>
    <n v="2027"/>
    <s v="Q2"/>
  </r>
  <r>
    <n v="894"/>
    <x v="893"/>
    <x v="2"/>
    <n v="4357"/>
    <n v="3271"/>
    <n v="2917"/>
    <n v="1897"/>
    <n v="2119"/>
    <n v="0.66139908300000005"/>
    <n v="2.8338814989999999"/>
    <n v="1763"/>
    <n v="1329"/>
    <n v="5"/>
    <n v="1.2070322360000001"/>
    <n v="0.93166121400000002"/>
    <b v="0"/>
    <n v="0.86896974699999996"/>
    <n v="1"/>
    <s v="Jun"/>
    <n v="2027"/>
    <s v="Q2"/>
  </r>
  <r>
    <n v="895"/>
    <x v="894"/>
    <x v="1"/>
    <n v="4657"/>
    <n v="3225"/>
    <n v="2750"/>
    <n v="1455"/>
    <n v="247"/>
    <n v="0.45785285199999998"/>
    <n v="1.129976023"/>
    <n v="1586"/>
    <n v="2508"/>
    <n v="6"/>
    <n v="1.1636319260000001"/>
    <n v="0.93763933399999999"/>
    <b v="0"/>
    <n v="0.93029435800000004"/>
    <n v="1"/>
    <s v="Jun"/>
    <n v="2027"/>
    <s v="Q2"/>
  </r>
  <r>
    <n v="896"/>
    <x v="895"/>
    <x v="3"/>
    <n v="3614"/>
    <n v="2716"/>
    <n v="223"/>
    <n v="2535"/>
    <n v="3355"/>
    <n v="0.26074323900000002"/>
    <n v="2.604121594"/>
    <n v="3367"/>
    <n v="753"/>
    <n v="5"/>
    <n v="1.7415615129999999"/>
    <n v="0.92329313499999999"/>
    <b v="0"/>
    <n v="0.71708912499999999"/>
    <n v="1"/>
    <s v="Jun"/>
    <n v="2027"/>
    <s v="Q2"/>
  </r>
  <r>
    <n v="897"/>
    <x v="896"/>
    <x v="2"/>
    <n v="2199"/>
    <n v="4469"/>
    <n v="1002"/>
    <n v="2076"/>
    <n v="3666"/>
    <n v="0.37508509899999998"/>
    <n v="1.387322339"/>
    <n v="565"/>
    <n v="2275"/>
    <n v="7"/>
    <n v="1.2934923110000001"/>
    <n v="0.80994654200000005"/>
    <b v="0"/>
    <n v="0.427841374"/>
    <n v="1"/>
    <s v="Jun"/>
    <n v="2027"/>
    <s v="Q2"/>
  </r>
  <r>
    <n v="898"/>
    <x v="897"/>
    <x v="0"/>
    <n v="1875"/>
    <n v="1649"/>
    <n v="461"/>
    <n v="558"/>
    <n v="1480"/>
    <n v="0.57616741100000002"/>
    <n v="2.7166308450000001"/>
    <n v="3138"/>
    <n v="3618"/>
    <n v="1"/>
    <n v="1.0076553399999999"/>
    <n v="0.944402093"/>
    <b v="0"/>
    <n v="0.36161079299999999"/>
    <n v="1"/>
    <s v="Jun"/>
    <n v="2027"/>
    <s v="Q2"/>
  </r>
  <r>
    <n v="899"/>
    <x v="898"/>
    <x v="2"/>
    <n v="943"/>
    <n v="1849"/>
    <n v="2771"/>
    <n v="935"/>
    <n v="2439"/>
    <n v="0.468974738"/>
    <n v="2.2532379439999999"/>
    <n v="1463"/>
    <n v="2500"/>
    <n v="4"/>
    <n v="1.2832947649999999"/>
    <n v="0.90292000400000005"/>
    <b v="0"/>
    <n v="0.17109566600000001"/>
    <n v="1"/>
    <s v="Jun"/>
    <n v="2027"/>
    <s v="Q2"/>
  </r>
  <r>
    <n v="900"/>
    <x v="899"/>
    <x v="1"/>
    <n v="1901"/>
    <n v="766"/>
    <n v="430"/>
    <n v="690"/>
    <n v="611"/>
    <n v="0.718259278"/>
    <n v="2.643402472"/>
    <n v="1680"/>
    <n v="3820"/>
    <n v="1"/>
    <n v="1.606327898"/>
    <n v="0.90924569300000002"/>
    <b v="0"/>
    <n v="0.36692559299999999"/>
    <n v="1"/>
    <s v="Jun"/>
    <n v="2027"/>
    <s v="Q2"/>
  </r>
  <r>
    <n v="901"/>
    <x v="900"/>
    <x v="2"/>
    <n v="837"/>
    <n v="1162"/>
    <n v="2752"/>
    <n v="4032"/>
    <n v="2579"/>
    <n v="0.62374568399999997"/>
    <n v="2.5009494819999998"/>
    <n v="769"/>
    <n v="703"/>
    <n v="7"/>
    <n v="1.1905411429999999"/>
    <n v="0.880749436"/>
    <b v="0"/>
    <n v="0.149427637"/>
    <n v="1"/>
    <s v="Jun"/>
    <n v="2027"/>
    <s v="Q2"/>
  </r>
  <r>
    <n v="902"/>
    <x v="901"/>
    <x v="0"/>
    <n v="3389"/>
    <n v="2992"/>
    <n v="2956"/>
    <n v="4993"/>
    <n v="2106"/>
    <n v="0.47122705199999998"/>
    <n v="0.73550069600000001"/>
    <n v="497"/>
    <n v="2181"/>
    <n v="7"/>
    <n v="0.77664708299999996"/>
    <n v="0.95116816000000004"/>
    <b v="0"/>
    <n v="0.67109566600000004"/>
    <n v="1"/>
    <s v="Jun"/>
    <n v="2027"/>
    <s v="Q2"/>
  </r>
  <r>
    <n v="903"/>
    <x v="902"/>
    <x v="0"/>
    <n v="4368"/>
    <n v="2024"/>
    <n v="208"/>
    <n v="4922"/>
    <n v="1830"/>
    <n v="0.51200611399999996"/>
    <n v="2.6996507709999999"/>
    <n v="881"/>
    <n v="3436"/>
    <n v="9"/>
    <n v="1.672060823"/>
    <n v="0.84789906800000003"/>
    <b v="0"/>
    <n v="0.87121831599999999"/>
    <n v="1"/>
    <s v="Jun"/>
    <n v="2027"/>
    <s v="Q2"/>
  </r>
  <r>
    <n v="904"/>
    <x v="903"/>
    <x v="1"/>
    <n v="4978"/>
    <n v="510"/>
    <n v="3432"/>
    <n v="728"/>
    <n v="880"/>
    <n v="0.49712709500000002"/>
    <n v="0.95423188400000003"/>
    <n v="2981"/>
    <n v="2441"/>
    <n v="9"/>
    <n v="0.76000951900000002"/>
    <n v="0.806093434"/>
    <b v="0"/>
    <n v="0.99591169300000004"/>
    <n v="1"/>
    <s v="Jun"/>
    <n v="2027"/>
    <s v="Q2"/>
  </r>
  <r>
    <n v="905"/>
    <x v="904"/>
    <x v="2"/>
    <n v="3074"/>
    <n v="529"/>
    <n v="2719"/>
    <n v="3374"/>
    <n v="829"/>
    <n v="0.471620229"/>
    <n v="0.56210064400000004"/>
    <n v="1319"/>
    <n v="2741"/>
    <n v="9"/>
    <n v="0.99036273600000002"/>
    <n v="0.96007118700000005"/>
    <b v="0"/>
    <n v="0.60670482400000003"/>
    <n v="1"/>
    <s v="Jun"/>
    <n v="2027"/>
    <s v="Q2"/>
  </r>
  <r>
    <n v="906"/>
    <x v="905"/>
    <x v="3"/>
    <n v="3258"/>
    <n v="1853"/>
    <n v="3166"/>
    <n v="1907"/>
    <n v="1799"/>
    <n v="0.45253702299999998"/>
    <n v="1.5755765980000001"/>
    <n v="405"/>
    <n v="689"/>
    <n v="7"/>
    <n v="1.1911658540000001"/>
    <n v="0.97067725900000001"/>
    <b v="0"/>
    <n v="0.64431725299999998"/>
    <n v="1"/>
    <s v="Jun"/>
    <n v="2027"/>
    <s v="Q2"/>
  </r>
  <r>
    <n v="907"/>
    <x v="906"/>
    <x v="2"/>
    <n v="215"/>
    <n v="3414"/>
    <n v="3119"/>
    <n v="1947"/>
    <n v="3872"/>
    <n v="0.40127025300000002"/>
    <n v="2.538982861"/>
    <n v="3533"/>
    <n v="609"/>
    <n v="6"/>
    <n v="0.76681262699999997"/>
    <n v="0.853451717"/>
    <b v="0"/>
    <n v="2.2281275999999999E-2"/>
    <n v="1"/>
    <s v="Jun"/>
    <n v="2027"/>
    <s v="Q2"/>
  </r>
  <r>
    <n v="908"/>
    <x v="907"/>
    <x v="2"/>
    <n v="4872"/>
    <n v="3228"/>
    <n v="1067"/>
    <n v="1390"/>
    <n v="1456"/>
    <n v="0.58501179299999995"/>
    <n v="1.3780561819999999"/>
    <n v="666"/>
    <n v="3421"/>
    <n v="1"/>
    <n v="0.804529406"/>
    <n v="0.85558974399999999"/>
    <b v="0"/>
    <n v="0.97424366299999998"/>
    <n v="1"/>
    <s v="Jun"/>
    <n v="2027"/>
    <s v="Q2"/>
  </r>
  <r>
    <n v="909"/>
    <x v="908"/>
    <x v="1"/>
    <n v="2575"/>
    <n v="2299"/>
    <n v="1173"/>
    <n v="3414"/>
    <n v="3264"/>
    <n v="0.31152071100000001"/>
    <n v="0.75824051199999998"/>
    <n v="1944"/>
    <n v="3287"/>
    <n v="2"/>
    <n v="1.1158560719999999"/>
    <n v="0.951889918"/>
    <b v="0"/>
    <n v="0.50470155400000005"/>
    <n v="1"/>
    <s v="Jun"/>
    <n v="2027"/>
    <s v="Q2"/>
  </r>
  <r>
    <n v="910"/>
    <x v="909"/>
    <x v="2"/>
    <n v="4873"/>
    <n v="3282"/>
    <n v="1647"/>
    <n v="4519"/>
    <n v="3335"/>
    <n v="0.220490456"/>
    <n v="2.0966539690000001"/>
    <n v="3301"/>
    <n v="2325"/>
    <n v="8"/>
    <n v="1.7992178350000001"/>
    <n v="0.88164518000000003"/>
    <b v="0"/>
    <n v="0.974448078"/>
    <n v="1"/>
    <s v="Jun"/>
    <n v="2027"/>
    <s v="Q2"/>
  </r>
  <r>
    <n v="911"/>
    <x v="910"/>
    <x v="2"/>
    <n v="4077"/>
    <n v="1301"/>
    <n v="3347"/>
    <n v="3695"/>
    <n v="1951"/>
    <n v="0.24926447099999999"/>
    <n v="1.9815864700000001"/>
    <n v="4968"/>
    <n v="241"/>
    <n v="5"/>
    <n v="0.91254199599999997"/>
    <n v="0.98400239599999995"/>
    <b v="0"/>
    <n v="0.81173344199999997"/>
    <n v="1"/>
    <s v="Jun"/>
    <n v="2027"/>
    <s v="Q2"/>
  </r>
  <r>
    <n v="912"/>
    <x v="911"/>
    <x v="1"/>
    <n v="1481"/>
    <n v="3921"/>
    <n v="1406"/>
    <n v="4928"/>
    <n v="921"/>
    <n v="0.211048916"/>
    <n v="2.1041873139999998"/>
    <n v="2509"/>
    <n v="3772"/>
    <n v="3"/>
    <n v="1.4929502880000001"/>
    <n v="0.97673993999999997"/>
    <b v="0"/>
    <n v="0.28107113700000003"/>
    <n v="1"/>
    <s v="Jul"/>
    <n v="2027"/>
    <s v="Q3"/>
  </r>
  <r>
    <n v="913"/>
    <x v="912"/>
    <x v="1"/>
    <n v="2331"/>
    <n v="4247"/>
    <n v="3257"/>
    <n v="662"/>
    <n v="1010"/>
    <n v="0.39422174500000001"/>
    <n v="2.3972144179999999"/>
    <n v="3721"/>
    <n v="1948"/>
    <n v="3"/>
    <n v="1.4598224719999999"/>
    <n v="0.92494603099999995"/>
    <b v="0"/>
    <n v="0.45482420299999998"/>
    <n v="1"/>
    <s v="Jul"/>
    <n v="2027"/>
    <s v="Q3"/>
  </r>
  <r>
    <n v="914"/>
    <x v="913"/>
    <x v="0"/>
    <n v="662"/>
    <n v="1957"/>
    <n v="3872"/>
    <n v="1027"/>
    <n v="3245"/>
    <n v="0.38289752100000002"/>
    <n v="2.1182933560000001"/>
    <n v="4916"/>
    <n v="1204"/>
    <n v="8"/>
    <n v="0.78627963300000003"/>
    <n v="0.99026304200000004"/>
    <b v="1"/>
    <n v="0.11365494700000001"/>
    <n v="1"/>
    <s v="Jul"/>
    <n v="2027"/>
    <s v="Q3"/>
  </r>
  <r>
    <n v="915"/>
    <x v="914"/>
    <x v="1"/>
    <n v="2463"/>
    <n v="587"/>
    <n v="2555"/>
    <n v="3831"/>
    <n v="3133"/>
    <n v="0.25324548099999999"/>
    <n v="2.0149015380000002"/>
    <n v="1683"/>
    <n v="2913"/>
    <n v="2"/>
    <n v="1.3519535570000001"/>
    <n v="0.93372996399999997"/>
    <b v="1"/>
    <n v="0.48180703200000002"/>
    <n v="1"/>
    <s v="Jul"/>
    <n v="2027"/>
    <s v="Q3"/>
  </r>
  <r>
    <n v="916"/>
    <x v="915"/>
    <x v="0"/>
    <n v="347"/>
    <n v="2962"/>
    <n v="3917"/>
    <n v="356"/>
    <n v="3003"/>
    <n v="0.59116145200000003"/>
    <n v="2.1728116260000001"/>
    <n v="752"/>
    <n v="744"/>
    <n v="2"/>
    <n v="1.4652950419999999"/>
    <n v="0.99811180200000005"/>
    <b v="0"/>
    <n v="4.9264105000000002E-2"/>
    <n v="1"/>
    <s v="Jul"/>
    <n v="2027"/>
    <s v="Q3"/>
  </r>
  <r>
    <n v="917"/>
    <x v="916"/>
    <x v="3"/>
    <n v="2206"/>
    <n v="4255"/>
    <n v="2602"/>
    <n v="1839"/>
    <n v="3556"/>
    <n v="0.58630709400000003"/>
    <n v="1.603123326"/>
    <n v="985"/>
    <n v="1151"/>
    <n v="4"/>
    <n v="1.109778629"/>
    <n v="0.88937880599999997"/>
    <b v="0"/>
    <n v="0.42927228099999998"/>
    <n v="1"/>
    <s v="Jul"/>
    <n v="2027"/>
    <s v="Q3"/>
  </r>
  <r>
    <n v="918"/>
    <x v="917"/>
    <x v="0"/>
    <n v="675"/>
    <n v="666"/>
    <n v="2269"/>
    <n v="1925"/>
    <n v="1541"/>
    <n v="0.24479672299999999"/>
    <n v="1.158889829"/>
    <n v="1485"/>
    <n v="3836"/>
    <n v="8"/>
    <n v="0.69754107499999995"/>
    <n v="0.81330428300000002"/>
    <b v="0"/>
    <n v="0.116312347"/>
    <n v="1"/>
    <s v="Jul"/>
    <n v="2027"/>
    <s v="Q3"/>
  </r>
  <r>
    <n v="919"/>
    <x v="918"/>
    <x v="3"/>
    <n v="4916"/>
    <n v="1705"/>
    <n v="3101"/>
    <n v="3644"/>
    <n v="2307"/>
    <n v="0.49082739800000003"/>
    <n v="1.5209963559999999"/>
    <n v="628"/>
    <n v="2496"/>
    <n v="6"/>
    <n v="0.57300446299999996"/>
    <n v="0.96049514899999999"/>
    <b v="0"/>
    <n v="0.98323793900000001"/>
    <n v="1"/>
    <s v="Jul"/>
    <n v="2027"/>
    <s v="Q3"/>
  </r>
  <r>
    <n v="920"/>
    <x v="919"/>
    <x v="0"/>
    <n v="4787"/>
    <n v="907"/>
    <n v="2372"/>
    <n v="4938"/>
    <n v="2433"/>
    <n v="0.78481158500000003"/>
    <n v="2.8747914159999999"/>
    <n v="4095"/>
    <n v="2142"/>
    <n v="8"/>
    <n v="1.105299904"/>
    <n v="0.93526741400000002"/>
    <b v="0"/>
    <n v="0.95686835699999995"/>
    <n v="1"/>
    <s v="Jul"/>
    <n v="2027"/>
    <s v="Q3"/>
  </r>
  <r>
    <n v="921"/>
    <x v="920"/>
    <x v="1"/>
    <n v="268"/>
    <n v="1588"/>
    <n v="2774"/>
    <n v="2347"/>
    <n v="100"/>
    <n v="0.56517790700000003"/>
    <n v="1.094190129"/>
    <n v="4736"/>
    <n v="2714"/>
    <n v="8"/>
    <n v="1.4590779110000001"/>
    <n v="0.830581766"/>
    <b v="1"/>
    <n v="3.3115289999999999E-2"/>
    <n v="1"/>
    <s v="Jul"/>
    <n v="2027"/>
    <s v="Q3"/>
  </r>
  <r>
    <n v="922"/>
    <x v="921"/>
    <x v="2"/>
    <n v="2411"/>
    <n v="2637"/>
    <n v="3490"/>
    <n v="4812"/>
    <n v="3378"/>
    <n v="0.60352018200000002"/>
    <n v="0.55932229700000002"/>
    <n v="871"/>
    <n v="1856"/>
    <n v="1"/>
    <n v="0.89152198599999999"/>
    <n v="0.96110653199999996"/>
    <b v="0"/>
    <n v="0.47117743299999998"/>
    <n v="1"/>
    <s v="Jul"/>
    <n v="2027"/>
    <s v="Q3"/>
  </r>
  <r>
    <n v="923"/>
    <x v="922"/>
    <x v="2"/>
    <n v="1570"/>
    <n v="3480"/>
    <n v="3427"/>
    <n v="382"/>
    <n v="129"/>
    <n v="0.50190628100000001"/>
    <n v="1.9443130360000001"/>
    <n v="739"/>
    <n v="2365"/>
    <n v="1"/>
    <n v="1.671228435"/>
    <n v="0.83196685299999995"/>
    <b v="0"/>
    <n v="0.299264105"/>
    <n v="1"/>
    <s v="Jul"/>
    <n v="2027"/>
    <s v="Q3"/>
  </r>
  <r>
    <n v="924"/>
    <x v="923"/>
    <x v="0"/>
    <n v="1369"/>
    <n v="1599"/>
    <n v="1426"/>
    <n v="3897"/>
    <n v="3080"/>
    <n v="0.65614712500000005"/>
    <n v="2.6887779200000002"/>
    <n v="3158"/>
    <n v="3726"/>
    <n v="6"/>
    <n v="1.2278102289999999"/>
    <n v="0.83801109500000004"/>
    <b v="0"/>
    <n v="0.258176615"/>
    <n v="1"/>
    <s v="Jul"/>
    <n v="2027"/>
    <s v="Q3"/>
  </r>
  <r>
    <n v="925"/>
    <x v="924"/>
    <x v="1"/>
    <n v="713"/>
    <n v="674"/>
    <n v="3819"/>
    <n v="2505"/>
    <n v="703"/>
    <n v="0.20585762199999999"/>
    <n v="1.515964775"/>
    <n v="3596"/>
    <n v="2583"/>
    <n v="5"/>
    <n v="1.906339083"/>
    <n v="0.835236859"/>
    <b v="0"/>
    <n v="0.124080131"/>
    <n v="1"/>
    <s v="Jul"/>
    <n v="2027"/>
    <s v="Q3"/>
  </r>
  <r>
    <n v="926"/>
    <x v="925"/>
    <x v="0"/>
    <n v="3111"/>
    <n v="4192"/>
    <n v="964"/>
    <n v="1677"/>
    <n v="3889"/>
    <n v="0.75953326499999996"/>
    <n v="1.931533655"/>
    <n v="1287"/>
    <n v="1042"/>
    <n v="7"/>
    <n v="1.9212622580000001"/>
    <n v="0.84141738499999996"/>
    <b v="0"/>
    <n v="0.61426819300000002"/>
    <n v="1"/>
    <s v="Jul"/>
    <n v="2027"/>
    <s v="Q3"/>
  </r>
  <r>
    <n v="927"/>
    <x v="926"/>
    <x v="3"/>
    <n v="3959"/>
    <n v="1061"/>
    <n v="1308"/>
    <n v="756"/>
    <n v="2163"/>
    <n v="0.30424464800000001"/>
    <n v="0.71579048700000003"/>
    <n v="4554"/>
    <n v="1749"/>
    <n v="7"/>
    <n v="0.94119470900000002"/>
    <n v="0.82435544900000002"/>
    <b v="0"/>
    <n v="0.78761242799999998"/>
    <n v="1"/>
    <s v="Jul"/>
    <n v="2027"/>
    <s v="Q3"/>
  </r>
  <r>
    <n v="928"/>
    <x v="927"/>
    <x v="2"/>
    <n v="4275"/>
    <n v="1080"/>
    <n v="1029"/>
    <n v="1783"/>
    <n v="370"/>
    <n v="0.48634055199999998"/>
    <n v="2.1415029730000001"/>
    <n v="4476"/>
    <n v="2717"/>
    <n v="8"/>
    <n v="1.608574664"/>
    <n v="0.99954346900000002"/>
    <b v="0"/>
    <n v="0.85220768599999996"/>
    <n v="1"/>
    <s v="Jul"/>
    <n v="2027"/>
    <s v="Q3"/>
  </r>
  <r>
    <n v="929"/>
    <x v="928"/>
    <x v="0"/>
    <n v="1264"/>
    <n v="1792"/>
    <n v="2577"/>
    <n v="3878"/>
    <n v="3280"/>
    <n v="0.49536203400000001"/>
    <n v="0.663871671"/>
    <n v="1594"/>
    <n v="305"/>
    <n v="6"/>
    <n v="1.6554047110000001"/>
    <n v="0.94703362300000005"/>
    <b v="1"/>
    <n v="0.23671300100000001"/>
    <n v="1"/>
    <s v="Jul"/>
    <n v="2027"/>
    <s v="Q3"/>
  </r>
  <r>
    <n v="930"/>
    <x v="929"/>
    <x v="1"/>
    <n v="1934"/>
    <n v="1122"/>
    <n v="701"/>
    <n v="1830"/>
    <n v="1388"/>
    <n v="0.43111416600000002"/>
    <n v="1.8436696450000001"/>
    <n v="2445"/>
    <n v="2242"/>
    <n v="8"/>
    <n v="0.789305751"/>
    <n v="0.82496034600000001"/>
    <b v="0"/>
    <n v="0.37367129999999998"/>
    <n v="1"/>
    <s v="Jul"/>
    <n v="2027"/>
    <s v="Q3"/>
  </r>
  <r>
    <n v="931"/>
    <x v="930"/>
    <x v="0"/>
    <n v="3322"/>
    <n v="3832"/>
    <n v="2177"/>
    <n v="4553"/>
    <n v="1807"/>
    <n v="0.44360861499999998"/>
    <n v="2.4121328260000001"/>
    <n v="531"/>
    <n v="2997"/>
    <n v="3"/>
    <n v="1.4979405459999999"/>
    <n v="0.81908736100000001"/>
    <b v="0"/>
    <n v="0.65739983599999996"/>
    <n v="1"/>
    <s v="Jul"/>
    <n v="2027"/>
    <s v="Q3"/>
  </r>
  <r>
    <n v="932"/>
    <x v="931"/>
    <x v="0"/>
    <n v="1684"/>
    <n v="4137"/>
    <n v="252"/>
    <n v="1578"/>
    <n v="1277"/>
    <n v="0.48869427300000001"/>
    <n v="2.1864006960000002"/>
    <n v="2542"/>
    <n v="2088"/>
    <n v="1"/>
    <n v="1.6631956269999999"/>
    <n v="0.95597201700000001"/>
    <b v="0"/>
    <n v="0.322567457"/>
    <n v="1"/>
    <s v="Jul"/>
    <n v="2027"/>
    <s v="Q3"/>
  </r>
  <r>
    <n v="933"/>
    <x v="932"/>
    <x v="2"/>
    <n v="1649"/>
    <n v="543"/>
    <n v="3184"/>
    <n v="4269"/>
    <n v="1101"/>
    <n v="0.40454022299999998"/>
    <n v="2.0740887770000001"/>
    <n v="3454"/>
    <n v="2606"/>
    <n v="6"/>
    <n v="1.9983676930000001"/>
    <n v="0.93749545499999998"/>
    <b v="0"/>
    <n v="0.31541291900000001"/>
    <n v="1"/>
    <s v="Jul"/>
    <n v="2027"/>
    <s v="Q3"/>
  </r>
  <r>
    <n v="934"/>
    <x v="933"/>
    <x v="0"/>
    <n v="342"/>
    <n v="4187"/>
    <n v="2631"/>
    <n v="1120"/>
    <n v="2078"/>
    <n v="0.54713217999999997"/>
    <n v="1.7597433250000001"/>
    <n v="1586"/>
    <n v="653"/>
    <n v="2"/>
    <n v="1.772076593"/>
    <n v="0.95769942399999997"/>
    <b v="0"/>
    <n v="4.8242027999999999E-2"/>
    <n v="1"/>
    <s v="Jul"/>
    <n v="2027"/>
    <s v="Q3"/>
  </r>
  <r>
    <n v="935"/>
    <x v="934"/>
    <x v="2"/>
    <n v="352"/>
    <n v="3292"/>
    <n v="3751"/>
    <n v="3457"/>
    <n v="1183"/>
    <n v="0.354328537"/>
    <n v="2.5927578759999999"/>
    <n v="2434"/>
    <n v="2169"/>
    <n v="4"/>
    <n v="1.7469356279999999"/>
    <n v="0.93109626499999998"/>
    <b v="0"/>
    <n v="5.0286181999999999E-2"/>
    <n v="1"/>
    <s v="Jul"/>
    <n v="2027"/>
    <s v="Q3"/>
  </r>
  <r>
    <n v="936"/>
    <x v="935"/>
    <x v="2"/>
    <n v="1928"/>
    <n v="2686"/>
    <n v="3392"/>
    <n v="995"/>
    <n v="734"/>
    <n v="0.40085296399999998"/>
    <n v="1.790389805"/>
    <n v="1806"/>
    <n v="2330"/>
    <n v="2"/>
    <n v="0.51434497700000004"/>
    <n v="0.81829571099999998"/>
    <b v="0"/>
    <n v="0.37244480800000002"/>
    <n v="1"/>
    <s v="Jul"/>
    <n v="2027"/>
    <s v="Q3"/>
  </r>
  <r>
    <n v="937"/>
    <x v="936"/>
    <x v="1"/>
    <n v="4717"/>
    <n v="3087"/>
    <n v="979"/>
    <n v="551"/>
    <n v="2346"/>
    <n v="0.29620684200000003"/>
    <n v="1.511553629"/>
    <n v="3472"/>
    <n v="1428"/>
    <n v="5"/>
    <n v="1.7257942550000001"/>
    <n v="0.93834607699999995"/>
    <b v="0"/>
    <n v="0.94255928"/>
    <n v="1"/>
    <s v="Jul"/>
    <n v="2027"/>
    <s v="Q3"/>
  </r>
  <r>
    <n v="938"/>
    <x v="937"/>
    <x v="3"/>
    <n v="1921"/>
    <n v="1680"/>
    <n v="655"/>
    <n v="3683"/>
    <n v="3545"/>
    <n v="0.58384737900000006"/>
    <n v="2.3684010600000001"/>
    <n v="165"/>
    <n v="1409"/>
    <n v="3"/>
    <n v="0.90106798499999996"/>
    <n v="0.82204653100000002"/>
    <b v="1"/>
    <n v="0.37101390000000001"/>
    <n v="1"/>
    <s v="Jul"/>
    <n v="2027"/>
    <s v="Q3"/>
  </r>
  <r>
    <n v="939"/>
    <x v="938"/>
    <x v="1"/>
    <n v="3368"/>
    <n v="3779"/>
    <n v="606"/>
    <n v="4212"/>
    <n v="3565"/>
    <n v="0.228671233"/>
    <n v="2.3467624709999999"/>
    <n v="1527"/>
    <n v="872"/>
    <n v="3"/>
    <n v="1.916283548"/>
    <n v="0.88299013699999995"/>
    <b v="0"/>
    <n v="0.66680294399999995"/>
    <n v="1"/>
    <s v="Jul"/>
    <n v="2027"/>
    <s v="Q3"/>
  </r>
  <r>
    <n v="940"/>
    <x v="939"/>
    <x v="1"/>
    <n v="4340"/>
    <n v="824"/>
    <n v="3362"/>
    <n v="4347"/>
    <n v="1205"/>
    <n v="0.57212904600000003"/>
    <n v="1.9927597690000001"/>
    <n v="4724"/>
    <n v="1668"/>
    <n v="7"/>
    <n v="1.8390158539999999"/>
    <n v="0.95576411800000005"/>
    <b v="1"/>
    <n v="0.86549468500000004"/>
    <n v="1"/>
    <s v="Jul"/>
    <n v="2027"/>
    <s v="Q3"/>
  </r>
  <r>
    <n v="941"/>
    <x v="940"/>
    <x v="0"/>
    <n v="4215"/>
    <n v="3784"/>
    <n v="961"/>
    <n v="1562"/>
    <n v="3885"/>
    <n v="0.22107183699999999"/>
    <n v="0.61554507800000002"/>
    <n v="1978"/>
    <n v="3094"/>
    <n v="3"/>
    <n v="0.86812652199999996"/>
    <n v="0.84281318999999999"/>
    <b v="0"/>
    <n v="0.83994276400000001"/>
    <n v="1"/>
    <s v="Jul"/>
    <n v="2027"/>
    <s v="Q3"/>
  </r>
  <r>
    <n v="942"/>
    <x v="941"/>
    <x v="1"/>
    <n v="3645"/>
    <n v="2594"/>
    <n v="1739"/>
    <n v="3591"/>
    <n v="265"/>
    <n v="0.61113358900000003"/>
    <n v="1.6439529150000001"/>
    <n v="3085"/>
    <n v="1988"/>
    <n v="5"/>
    <n v="1.780119215"/>
    <n v="0.84199456800000005"/>
    <b v="0"/>
    <n v="0.72342600199999996"/>
    <n v="1"/>
    <s v="Jul"/>
    <n v="2027"/>
    <s v="Q3"/>
  </r>
  <r>
    <n v="943"/>
    <x v="942"/>
    <x v="2"/>
    <n v="463"/>
    <n v="1995"/>
    <n v="776"/>
    <n v="4585"/>
    <n v="2607"/>
    <n v="0.52530471499999998"/>
    <n v="2.9943528700000002"/>
    <n v="4627"/>
    <n v="3326"/>
    <n v="3"/>
    <n v="1.7471833160000001"/>
    <n v="0.88487019499999997"/>
    <b v="0"/>
    <n v="7.2976288E-2"/>
    <n v="1"/>
    <s v="Aug"/>
    <n v="2027"/>
    <s v="Q3"/>
  </r>
  <r>
    <n v="944"/>
    <x v="943"/>
    <x v="2"/>
    <n v="1601"/>
    <n v="2757"/>
    <n v="3343"/>
    <n v="867"/>
    <n v="3781"/>
    <n v="0.59119566899999998"/>
    <n v="2.165142838"/>
    <n v="2873"/>
    <n v="1868"/>
    <n v="4"/>
    <n v="1.2962004380000001"/>
    <n v="0.86950486599999999"/>
    <b v="0"/>
    <n v="0.30560098099999999"/>
    <n v="0"/>
    <s v="Aug"/>
    <n v="2027"/>
    <s v="Q3"/>
  </r>
  <r>
    <n v="945"/>
    <x v="944"/>
    <x v="3"/>
    <n v="813"/>
    <n v="4424"/>
    <n v="476"/>
    <n v="1560"/>
    <n v="3570"/>
    <n v="0.438479075"/>
    <n v="2.2972218309999999"/>
    <n v="513"/>
    <n v="2257"/>
    <n v="6"/>
    <n v="1.988927728"/>
    <n v="0.88633960300000003"/>
    <b v="0"/>
    <n v="0.14452166799999999"/>
    <n v="1"/>
    <s v="Aug"/>
    <n v="2027"/>
    <s v="Q3"/>
  </r>
  <r>
    <n v="946"/>
    <x v="945"/>
    <x v="3"/>
    <n v="3580"/>
    <n v="1758"/>
    <n v="667"/>
    <n v="362"/>
    <n v="1334"/>
    <n v="0.72920731400000005"/>
    <n v="1.54213062"/>
    <n v="1187"/>
    <n v="1022"/>
    <n v="4"/>
    <n v="0.726516355"/>
    <n v="0.95250426799999999"/>
    <b v="0"/>
    <n v="0.71013900200000002"/>
    <n v="1"/>
    <s v="Aug"/>
    <n v="2027"/>
    <s v="Q3"/>
  </r>
  <r>
    <n v="947"/>
    <x v="946"/>
    <x v="0"/>
    <n v="4266"/>
    <n v="3228"/>
    <n v="887"/>
    <n v="866"/>
    <n v="498"/>
    <n v="0.55983676100000002"/>
    <n v="1.270941589"/>
    <n v="3381"/>
    <n v="2035"/>
    <n v="7"/>
    <n v="0.82798216800000002"/>
    <n v="0.99899740599999998"/>
    <b v="1"/>
    <n v="0.85036794800000004"/>
    <n v="1"/>
    <s v="Aug"/>
    <n v="2027"/>
    <s v="Q3"/>
  </r>
  <r>
    <n v="948"/>
    <x v="947"/>
    <x v="2"/>
    <n v="235"/>
    <n v="2047"/>
    <n v="1485"/>
    <n v="630"/>
    <n v="3812"/>
    <n v="0.27136384800000002"/>
    <n v="1.964905538"/>
    <n v="2868"/>
    <n v="2767"/>
    <n v="3"/>
    <n v="1.5955995169999999"/>
    <n v="0.99045131600000003"/>
    <b v="1"/>
    <n v="2.6369582999999999E-2"/>
    <n v="0"/>
    <s v="Aug"/>
    <n v="2027"/>
    <s v="Q3"/>
  </r>
  <r>
    <n v="949"/>
    <x v="948"/>
    <x v="1"/>
    <n v="1635"/>
    <n v="2343"/>
    <n v="1251"/>
    <n v="4870"/>
    <n v="651"/>
    <n v="0.21938519000000001"/>
    <n v="0.91758589999999995"/>
    <n v="4380"/>
    <n v="3854"/>
    <n v="2"/>
    <n v="0.65057231999999998"/>
    <n v="0.85450648399999996"/>
    <b v="1"/>
    <n v="0.31255110400000002"/>
    <n v="1"/>
    <s v="Aug"/>
    <n v="2027"/>
    <s v="Q3"/>
  </r>
  <r>
    <n v="950"/>
    <x v="949"/>
    <x v="1"/>
    <n v="2779"/>
    <n v="673"/>
    <n v="905"/>
    <n v="4486"/>
    <n v="3600"/>
    <n v="0.355609805"/>
    <n v="2.99964356"/>
    <n v="2806"/>
    <n v="3314"/>
    <n v="8"/>
    <n v="1.1060262000000001"/>
    <n v="0.99168110099999995"/>
    <b v="1"/>
    <n v="0.54640228899999999"/>
    <n v="1"/>
    <s v="Aug"/>
    <n v="2027"/>
    <s v="Q3"/>
  </r>
  <r>
    <n v="951"/>
    <x v="950"/>
    <x v="1"/>
    <n v="3032"/>
    <n v="3475"/>
    <n v="2061"/>
    <n v="2105"/>
    <n v="324"/>
    <n v="0.28146547999999999"/>
    <n v="0.64769698399999998"/>
    <n v="1221"/>
    <n v="3989"/>
    <n v="7"/>
    <n v="1.1673052639999999"/>
    <n v="0.97014236200000004"/>
    <b v="0"/>
    <n v="0.59811937900000001"/>
    <n v="1"/>
    <s v="Aug"/>
    <n v="2027"/>
    <s v="Q3"/>
  </r>
  <r>
    <n v="952"/>
    <x v="951"/>
    <x v="3"/>
    <n v="3790"/>
    <n v="4155"/>
    <n v="2515"/>
    <n v="468"/>
    <n v="1559"/>
    <n v="0.64024084299999995"/>
    <n v="1.8823697690000001"/>
    <n v="237"/>
    <n v="2572"/>
    <n v="5"/>
    <n v="1.760876372"/>
    <n v="0.91806267100000005"/>
    <b v="0"/>
    <n v="0.75306623100000003"/>
    <n v="1"/>
    <s v="Aug"/>
    <n v="2027"/>
    <s v="Q3"/>
  </r>
  <r>
    <n v="953"/>
    <x v="952"/>
    <x v="2"/>
    <n v="1243"/>
    <n v="2972"/>
    <n v="1001"/>
    <n v="1628"/>
    <n v="1987"/>
    <n v="0.73289714699999997"/>
    <n v="2.0007728490000001"/>
    <n v="2482"/>
    <n v="3904"/>
    <n v="3"/>
    <n v="0.800529343"/>
    <n v="0.80129621299999998"/>
    <b v="0"/>
    <n v="0.23242027800000001"/>
    <n v="1"/>
    <s v="Aug"/>
    <n v="2027"/>
    <s v="Q3"/>
  </r>
  <r>
    <n v="954"/>
    <x v="953"/>
    <x v="1"/>
    <n v="288"/>
    <n v="3017"/>
    <n v="1427"/>
    <n v="2513"/>
    <n v="1289"/>
    <n v="0.47248470599999998"/>
    <n v="0.517712336"/>
    <n v="995"/>
    <n v="3009"/>
    <n v="9"/>
    <n v="1.498380488"/>
    <n v="0.90308411"/>
    <b v="0"/>
    <n v="3.7203597999999997E-2"/>
    <n v="1"/>
    <s v="Aug"/>
    <n v="2027"/>
    <s v="Q3"/>
  </r>
  <r>
    <n v="955"/>
    <x v="954"/>
    <x v="2"/>
    <n v="2265"/>
    <n v="2979"/>
    <n v="639"/>
    <n v="4260"/>
    <n v="2677"/>
    <n v="0.34953846599999999"/>
    <n v="1.762913207"/>
    <n v="1453"/>
    <n v="771"/>
    <n v="8"/>
    <n v="0.60182617000000005"/>
    <n v="0.83439439100000001"/>
    <b v="0"/>
    <n v="0.44133278799999998"/>
    <n v="1"/>
    <s v="Aug"/>
    <n v="2027"/>
    <s v="Q3"/>
  </r>
  <r>
    <n v="956"/>
    <x v="955"/>
    <x v="2"/>
    <n v="4932"/>
    <n v="2986"/>
    <n v="2063"/>
    <n v="2828"/>
    <n v="3312"/>
    <n v="0.77693137599999995"/>
    <n v="2.0210674800000001"/>
    <n v="1829"/>
    <n v="2147"/>
    <n v="6"/>
    <n v="1.2772956019999999"/>
    <n v="0.92619666899999997"/>
    <b v="0"/>
    <n v="0.98650858500000005"/>
    <n v="1"/>
    <s v="Aug"/>
    <n v="2027"/>
    <s v="Q3"/>
  </r>
  <r>
    <n v="957"/>
    <x v="956"/>
    <x v="2"/>
    <n v="3403"/>
    <n v="4328"/>
    <n v="1352"/>
    <n v="4845"/>
    <n v="2194"/>
    <n v="0.43842567399999999"/>
    <n v="2.0927536519999999"/>
    <n v="1116"/>
    <n v="3596"/>
    <n v="7"/>
    <n v="1.4720565919999999"/>
    <n v="0.85586441800000002"/>
    <b v="0"/>
    <n v="0.67395748200000005"/>
    <n v="1"/>
    <s v="Aug"/>
    <n v="2027"/>
    <s v="Q3"/>
  </r>
  <r>
    <n v="958"/>
    <x v="957"/>
    <x v="1"/>
    <n v="4479"/>
    <n v="3313"/>
    <n v="3902"/>
    <n v="1838"/>
    <n v="1595"/>
    <n v="0.38729690700000002"/>
    <n v="0.79305663699999995"/>
    <n v="373"/>
    <n v="3030"/>
    <n v="4"/>
    <n v="1.7031561"/>
    <n v="0.96484664200000003"/>
    <b v="0"/>
    <n v="0.89390842199999998"/>
    <n v="1"/>
    <s v="Aug"/>
    <n v="2027"/>
    <s v="Q3"/>
  </r>
  <r>
    <n v="959"/>
    <x v="958"/>
    <x v="2"/>
    <n v="4287"/>
    <n v="4171"/>
    <n v="819"/>
    <n v="2737"/>
    <n v="1388"/>
    <n v="0.78820240600000002"/>
    <n v="1.467981427"/>
    <n v="3694"/>
    <n v="1431"/>
    <n v="9"/>
    <n v="1.6339617420000001"/>
    <n v="0.97810468699999997"/>
    <b v="0"/>
    <n v="0.85466067000000001"/>
    <n v="1"/>
    <s v="Aug"/>
    <n v="2027"/>
    <s v="Q3"/>
  </r>
  <r>
    <n v="960"/>
    <x v="959"/>
    <x v="2"/>
    <n v="3110"/>
    <n v="4410"/>
    <n v="1385"/>
    <n v="2882"/>
    <n v="280"/>
    <n v="0.47535758500000003"/>
    <n v="2.048251015"/>
    <n v="230"/>
    <n v="2575"/>
    <n v="6"/>
    <n v="1.0619115939999999"/>
    <n v="0.82807026800000005"/>
    <b v="0"/>
    <n v="0.614063778"/>
    <n v="1"/>
    <s v="Aug"/>
    <n v="2027"/>
    <s v="Q3"/>
  </r>
  <r>
    <n v="961"/>
    <x v="960"/>
    <x v="2"/>
    <n v="3387"/>
    <n v="1086"/>
    <n v="334"/>
    <n v="2762"/>
    <n v="2254"/>
    <n v="0.334725675"/>
    <n v="2.8926949500000001"/>
    <n v="2893"/>
    <n v="3589"/>
    <n v="2"/>
    <n v="0.96899084099999999"/>
    <n v="0.83415360199999999"/>
    <b v="0"/>
    <n v="0.67068683600000001"/>
    <n v="1"/>
    <s v="Aug"/>
    <n v="2027"/>
    <s v="Q3"/>
  </r>
  <r>
    <n v="962"/>
    <x v="961"/>
    <x v="2"/>
    <n v="1623"/>
    <n v="646"/>
    <n v="2151"/>
    <n v="2002"/>
    <n v="2662"/>
    <n v="0.79346695"/>
    <n v="2.5820635439999999"/>
    <n v="1563"/>
    <n v="697"/>
    <n v="9"/>
    <n v="1.4379690700000001"/>
    <n v="0.96736843699999997"/>
    <b v="0"/>
    <n v="0.31009811900000001"/>
    <n v="1"/>
    <s v="Aug"/>
    <n v="2027"/>
    <s v="Q3"/>
  </r>
  <r>
    <n v="963"/>
    <x v="962"/>
    <x v="3"/>
    <n v="1821"/>
    <n v="929"/>
    <n v="2818"/>
    <n v="3539"/>
    <n v="3655"/>
    <n v="0.21146981000000001"/>
    <n v="2.8580247660000002"/>
    <n v="433"/>
    <n v="3649"/>
    <n v="5"/>
    <n v="1.1978536689999999"/>
    <n v="0.88203394899999998"/>
    <b v="0"/>
    <n v="0.350572363"/>
    <n v="1"/>
    <s v="Aug"/>
    <n v="2027"/>
    <s v="Q3"/>
  </r>
  <r>
    <n v="964"/>
    <x v="963"/>
    <x v="3"/>
    <n v="2931"/>
    <n v="1004"/>
    <n v="1487"/>
    <n v="4370"/>
    <n v="3111"/>
    <n v="0.69040489500000002"/>
    <n v="1.5688905849999999"/>
    <n v="2181"/>
    <n v="1857"/>
    <n v="5"/>
    <n v="0.71048447199999998"/>
    <n v="0.91943990200000003"/>
    <b v="0"/>
    <n v="0.57747342599999996"/>
    <n v="1"/>
    <s v="Aug"/>
    <n v="2027"/>
    <s v="Q3"/>
  </r>
  <r>
    <n v="965"/>
    <x v="964"/>
    <x v="1"/>
    <n v="1632"/>
    <n v="4406"/>
    <n v="759"/>
    <n v="2354"/>
    <n v="3133"/>
    <n v="0.20796537400000001"/>
    <n v="2.1784801809999998"/>
    <n v="1444"/>
    <n v="3186"/>
    <n v="1"/>
    <n v="0.83578428800000004"/>
    <n v="0.81753910799999996"/>
    <b v="0"/>
    <n v="0.31193785800000001"/>
    <n v="1"/>
    <s v="Aug"/>
    <n v="2027"/>
    <s v="Q3"/>
  </r>
  <r>
    <n v="966"/>
    <x v="965"/>
    <x v="2"/>
    <n v="4825"/>
    <n v="2984"/>
    <n v="1756"/>
    <n v="4221"/>
    <n v="763"/>
    <n v="0.523003624"/>
    <n v="1.560755151"/>
    <n v="3926"/>
    <n v="213"/>
    <n v="6"/>
    <n v="1.7833235080000001"/>
    <n v="0.98001937900000002"/>
    <b v="0"/>
    <n v="0.96463614099999995"/>
    <n v="1"/>
    <s v="Aug"/>
    <n v="2027"/>
    <s v="Q3"/>
  </r>
  <r>
    <n v="967"/>
    <x v="966"/>
    <x v="3"/>
    <n v="1783"/>
    <n v="529"/>
    <n v="3627"/>
    <n v="1426"/>
    <n v="912"/>
    <n v="0.491087365"/>
    <n v="2.0727262080000002"/>
    <n v="294"/>
    <n v="3071"/>
    <n v="8"/>
    <n v="0.85646883100000004"/>
    <n v="0.82379554899999996"/>
    <b v="0"/>
    <n v="0.342804579"/>
    <n v="1"/>
    <s v="Aug"/>
    <n v="2027"/>
    <s v="Q3"/>
  </r>
  <r>
    <n v="968"/>
    <x v="967"/>
    <x v="1"/>
    <n v="2301"/>
    <n v="1120"/>
    <n v="298"/>
    <n v="694"/>
    <n v="539"/>
    <n v="0.65534598899999996"/>
    <n v="1.7307508190000001"/>
    <n v="2840"/>
    <n v="1072"/>
    <n v="5"/>
    <n v="1.212585147"/>
    <n v="0.93652169299999999"/>
    <b v="0"/>
    <n v="0.448691742"/>
    <n v="1"/>
    <s v="Aug"/>
    <n v="2027"/>
    <s v="Q3"/>
  </r>
  <r>
    <n v="969"/>
    <x v="968"/>
    <x v="3"/>
    <n v="138"/>
    <n v="1936"/>
    <n v="2391"/>
    <n v="858"/>
    <n v="1472"/>
    <n v="0.56997881500000003"/>
    <n v="2.2384669129999999"/>
    <n v="3906"/>
    <n v="193"/>
    <n v="5"/>
    <n v="0.94042759899999995"/>
    <n v="0.934210769"/>
    <b v="0"/>
    <n v="6.5412919999999998E-3"/>
    <n v="1"/>
    <s v="Aug"/>
    <n v="2027"/>
    <s v="Q3"/>
  </r>
  <r>
    <n v="970"/>
    <x v="969"/>
    <x v="0"/>
    <n v="4352"/>
    <n v="3685"/>
    <n v="3423"/>
    <n v="1263"/>
    <n v="1358"/>
    <n v="0.46553177299999998"/>
    <n v="1.9007492420000001"/>
    <n v="3870"/>
    <n v="2666"/>
    <n v="8"/>
    <n v="1.3173127440000001"/>
    <n v="0.83195533099999996"/>
    <b v="0"/>
    <n v="0.86794766999999995"/>
    <n v="1"/>
    <s v="Aug"/>
    <n v="2027"/>
    <s v="Q3"/>
  </r>
  <r>
    <n v="971"/>
    <x v="970"/>
    <x v="2"/>
    <n v="2974"/>
    <n v="2600"/>
    <n v="226"/>
    <n v="4398"/>
    <n v="1982"/>
    <n v="0.75739421900000004"/>
    <n v="2.619147092"/>
    <n v="1733"/>
    <n v="2862"/>
    <n v="8"/>
    <n v="1.6513586389999999"/>
    <n v="0.89106454300000004"/>
    <b v="0"/>
    <n v="0.58626328699999997"/>
    <n v="1"/>
    <s v="Aug"/>
    <n v="2027"/>
    <s v="Q3"/>
  </r>
  <r>
    <n v="972"/>
    <x v="971"/>
    <x v="0"/>
    <n v="3023"/>
    <n v="2367"/>
    <n v="3845"/>
    <n v="1565"/>
    <n v="2442"/>
    <n v="0.54928932500000005"/>
    <n v="2.7850975490000001"/>
    <n v="3358"/>
    <n v="2831"/>
    <n v="7"/>
    <n v="1.0252934149999999"/>
    <n v="0.86019514799999997"/>
    <b v="0"/>
    <n v="0.59627964"/>
    <n v="1"/>
    <s v="Aug"/>
    <n v="2027"/>
    <s v="Q3"/>
  </r>
  <r>
    <n v="973"/>
    <x v="972"/>
    <x v="3"/>
    <n v="3906"/>
    <n v="3918"/>
    <n v="1980"/>
    <n v="3828"/>
    <n v="2148"/>
    <n v="0.42298129499999998"/>
    <n v="0.50060522500000004"/>
    <n v="4400"/>
    <n v="1973"/>
    <n v="6"/>
    <n v="1.5156512120000001"/>
    <n v="0.946796305"/>
    <b v="0"/>
    <n v="0.77677841400000003"/>
    <n v="1"/>
    <s v="Aug"/>
    <n v="2027"/>
    <s v="Q3"/>
  </r>
  <r>
    <n v="974"/>
    <x v="973"/>
    <x v="2"/>
    <n v="1892"/>
    <n v="1975"/>
    <n v="517"/>
    <n v="1568"/>
    <n v="3399"/>
    <n v="0.71278619300000001"/>
    <n v="2.730470403"/>
    <n v="653"/>
    <n v="3474"/>
    <n v="6"/>
    <n v="1.819415301"/>
    <n v="0.96199346399999996"/>
    <b v="0"/>
    <n v="0.36508585399999999"/>
    <n v="1"/>
    <s v="Sep"/>
    <n v="2027"/>
    <s v="Q3"/>
  </r>
  <r>
    <n v="975"/>
    <x v="974"/>
    <x v="2"/>
    <n v="2372"/>
    <n v="1815"/>
    <n v="1944"/>
    <n v="1387"/>
    <n v="2685"/>
    <n v="0.41135950199999999"/>
    <n v="2.0677515070000001"/>
    <n v="134"/>
    <n v="2669"/>
    <n v="6"/>
    <n v="0.96747907300000002"/>
    <n v="0.85494066000000002"/>
    <b v="0"/>
    <n v="0.46320523299999999"/>
    <n v="1"/>
    <s v="Sep"/>
    <n v="2027"/>
    <s v="Q3"/>
  </r>
  <r>
    <n v="976"/>
    <x v="975"/>
    <x v="3"/>
    <n v="3780"/>
    <n v="3428"/>
    <n v="1742"/>
    <n v="2366"/>
    <n v="3218"/>
    <n v="0.43731757999999998"/>
    <n v="2.1978665839999998"/>
    <n v="4228"/>
    <n v="1715"/>
    <n v="9"/>
    <n v="1.8482002580000001"/>
    <n v="0.92287183900000003"/>
    <b v="0"/>
    <n v="0.75102207700000001"/>
    <n v="1"/>
    <s v="Sep"/>
    <n v="2027"/>
    <s v="Q3"/>
  </r>
  <r>
    <n v="977"/>
    <x v="976"/>
    <x v="0"/>
    <n v="1765"/>
    <n v="4114"/>
    <n v="1365"/>
    <n v="3323"/>
    <n v="3337"/>
    <n v="0.77187504600000001"/>
    <n v="1.1612610990000001"/>
    <n v="1883"/>
    <n v="2534"/>
    <n v="6"/>
    <n v="0.70157004199999995"/>
    <n v="0.93338271399999995"/>
    <b v="0"/>
    <n v="0.33912510200000001"/>
    <n v="1"/>
    <s v="Sep"/>
    <n v="2027"/>
    <s v="Q3"/>
  </r>
  <r>
    <n v="978"/>
    <x v="977"/>
    <x v="3"/>
    <n v="429"/>
    <n v="4266"/>
    <n v="3402"/>
    <n v="505"/>
    <n v="3253"/>
    <n v="0.70883915099999995"/>
    <n v="1.4010118069999999"/>
    <n v="689"/>
    <n v="426"/>
    <n v="9"/>
    <n v="1.794042581"/>
    <n v="0.83360870399999998"/>
    <b v="0"/>
    <n v="6.6026164999999998E-2"/>
    <n v="1"/>
    <s v="Sep"/>
    <n v="2027"/>
    <s v="Q3"/>
  </r>
  <r>
    <n v="979"/>
    <x v="978"/>
    <x v="0"/>
    <n v="2205"/>
    <n v="863"/>
    <n v="3175"/>
    <n v="1507"/>
    <n v="2403"/>
    <n v="0.57292957099999997"/>
    <n v="1.9672421170000001"/>
    <n v="1525"/>
    <n v="3034"/>
    <n v="7"/>
    <n v="1.1313216049999999"/>
    <n v="0.931432076"/>
    <b v="0"/>
    <n v="0.42906786600000002"/>
    <n v="1"/>
    <s v="Sep"/>
    <n v="2027"/>
    <s v="Q3"/>
  </r>
  <r>
    <n v="980"/>
    <x v="979"/>
    <x v="0"/>
    <n v="2639"/>
    <n v="2183"/>
    <n v="2829"/>
    <n v="2610"/>
    <n v="2618"/>
    <n v="0.33294354100000001"/>
    <n v="1.036095465"/>
    <n v="2122"/>
    <n v="1647"/>
    <n v="7"/>
    <n v="0.93618345300000005"/>
    <n v="0.80280236699999996"/>
    <b v="0"/>
    <n v="0.51778413700000003"/>
    <n v="1"/>
    <s v="Sep"/>
    <n v="2027"/>
    <s v="Q3"/>
  </r>
  <r>
    <n v="981"/>
    <x v="980"/>
    <x v="0"/>
    <n v="290"/>
    <n v="4329"/>
    <n v="2306"/>
    <n v="4898"/>
    <n v="2751"/>
    <n v="0.56732908100000001"/>
    <n v="2.7694511579999999"/>
    <n v="2002"/>
    <n v="644"/>
    <n v="7"/>
    <n v="1.5578331080000001"/>
    <n v="0.850228659"/>
    <b v="0"/>
    <n v="3.7612428000000003E-2"/>
    <n v="1"/>
    <s v="Sep"/>
    <n v="2027"/>
    <s v="Q3"/>
  </r>
  <r>
    <n v="982"/>
    <x v="981"/>
    <x v="0"/>
    <n v="4858"/>
    <n v="1110"/>
    <n v="2557"/>
    <n v="1978"/>
    <n v="3549"/>
    <n v="0.63426151799999997"/>
    <n v="1.386721442"/>
    <n v="2525"/>
    <n v="2548"/>
    <n v="8"/>
    <n v="1.7885218970000001"/>
    <n v="0.93995661900000005"/>
    <b v="0"/>
    <n v="0.97138184800000005"/>
    <n v="1"/>
    <s v="Sep"/>
    <n v="2027"/>
    <s v="Q3"/>
  </r>
  <r>
    <n v="983"/>
    <x v="982"/>
    <x v="1"/>
    <n v="4314"/>
    <n v="3324"/>
    <n v="1847"/>
    <n v="883"/>
    <n v="1522"/>
    <n v="0.59225162200000003"/>
    <n v="2.3908552830000001"/>
    <n v="4510"/>
    <n v="2049"/>
    <n v="9"/>
    <n v="1.8970139909999999"/>
    <n v="0.92605479199999996"/>
    <b v="0"/>
    <n v="0.86017988599999995"/>
    <n v="1"/>
    <s v="Sep"/>
    <n v="2027"/>
    <s v="Q3"/>
  </r>
  <r>
    <n v="984"/>
    <x v="983"/>
    <x v="3"/>
    <n v="4706"/>
    <n v="2399"/>
    <n v="2444"/>
    <n v="2141"/>
    <n v="346"/>
    <n v="0.61476615499999998"/>
    <n v="1.5460250280000001"/>
    <n v="3781"/>
    <n v="1558"/>
    <n v="7"/>
    <n v="1.8387018159999999"/>
    <n v="0.912136697"/>
    <b v="0"/>
    <n v="0.94031071099999997"/>
    <n v="1"/>
    <s v="Sep"/>
    <n v="2027"/>
    <s v="Q3"/>
  </r>
  <r>
    <n v="985"/>
    <x v="984"/>
    <x v="2"/>
    <n v="2392"/>
    <n v="3826"/>
    <n v="3253"/>
    <n v="4982"/>
    <n v="2874"/>
    <n v="0.51906225399999995"/>
    <n v="2.4771246150000001"/>
    <n v="1666"/>
    <n v="3150"/>
    <n v="1"/>
    <n v="1.690795738"/>
    <n v="0.87461412100000002"/>
    <b v="0"/>
    <n v="0.46729354000000001"/>
    <n v="1"/>
    <s v="Sep"/>
    <n v="2027"/>
    <s v="Q3"/>
  </r>
  <r>
    <n v="986"/>
    <x v="985"/>
    <x v="3"/>
    <n v="1608"/>
    <n v="3771"/>
    <n v="1846"/>
    <n v="4819"/>
    <n v="177"/>
    <n v="0.71757623100000001"/>
    <n v="2.2027952430000002"/>
    <n v="2301"/>
    <n v="2827"/>
    <n v="5"/>
    <n v="1.1382546419999999"/>
    <n v="0.86716570800000004"/>
    <b v="0"/>
    <n v="0.307031889"/>
    <n v="1"/>
    <s v="Sep"/>
    <n v="2027"/>
    <s v="Q3"/>
  </r>
  <r>
    <n v="987"/>
    <x v="986"/>
    <x v="0"/>
    <n v="894"/>
    <n v="3130"/>
    <n v="1803"/>
    <n v="571"/>
    <n v="3255"/>
    <n v="0.29821544100000003"/>
    <n v="1.8473072070000001"/>
    <n v="2728"/>
    <n v="1151"/>
    <n v="5"/>
    <n v="1.086282505"/>
    <n v="0.90173848499999998"/>
    <b v="0"/>
    <n v="0.161079313"/>
    <n v="1"/>
    <s v="Sep"/>
    <n v="2027"/>
    <s v="Q3"/>
  </r>
  <r>
    <n v="988"/>
    <x v="987"/>
    <x v="3"/>
    <n v="4325"/>
    <n v="2499"/>
    <n v="2628"/>
    <n v="1484"/>
    <n v="1990"/>
    <n v="0.26895255400000001"/>
    <n v="2.412399014"/>
    <n v="2799"/>
    <n v="2597"/>
    <n v="2"/>
    <n v="0.59996207999999995"/>
    <n v="0.82767776299999996"/>
    <b v="0"/>
    <n v="0.86242845499999998"/>
    <n v="1"/>
    <s v="Sep"/>
    <n v="2027"/>
    <s v="Q3"/>
  </r>
  <r>
    <n v="989"/>
    <x v="988"/>
    <x v="2"/>
    <n v="4001"/>
    <n v="4136"/>
    <n v="1415"/>
    <n v="1620"/>
    <n v="1049"/>
    <n v="0.227900624"/>
    <n v="1.845017055"/>
    <n v="2710"/>
    <n v="2662"/>
    <n v="5"/>
    <n v="1.193685509"/>
    <n v="0.90787294900000004"/>
    <b v="0"/>
    <n v="0.79619787399999997"/>
    <n v="1"/>
    <s v="Sep"/>
    <n v="2027"/>
    <s v="Q3"/>
  </r>
  <r>
    <n v="990"/>
    <x v="989"/>
    <x v="2"/>
    <n v="2801"/>
    <n v="740"/>
    <n v="1571"/>
    <n v="1316"/>
    <n v="1449"/>
    <n v="0.41466378999999998"/>
    <n v="1.992636045"/>
    <n v="1897"/>
    <n v="2568"/>
    <n v="2"/>
    <n v="1.7305168150000001"/>
    <n v="0.87041318899999998"/>
    <b v="0"/>
    <n v="0.55089942800000002"/>
    <n v="1"/>
    <s v="Sep"/>
    <n v="2027"/>
    <s v="Q3"/>
  </r>
  <r>
    <n v="991"/>
    <x v="990"/>
    <x v="0"/>
    <n v="2770"/>
    <n v="812"/>
    <n v="1985"/>
    <n v="3728"/>
    <n v="501"/>
    <n v="0.32996626200000001"/>
    <n v="2.1285371020000001"/>
    <n v="4934"/>
    <n v="1864"/>
    <n v="4"/>
    <n v="0.88861811000000002"/>
    <n v="0.90939070399999999"/>
    <b v="0"/>
    <n v="0.54456255099999995"/>
    <n v="1"/>
    <s v="Sep"/>
    <n v="2027"/>
    <s v="Q3"/>
  </r>
  <r>
    <n v="992"/>
    <x v="991"/>
    <x v="0"/>
    <n v="3403"/>
    <n v="1018"/>
    <n v="1828"/>
    <n v="4287"/>
    <n v="2180"/>
    <n v="0.76868100699999997"/>
    <n v="2.9080502460000002"/>
    <n v="2348"/>
    <n v="2854"/>
    <n v="9"/>
    <n v="1.6314892679999999"/>
    <n v="0.97908408499999999"/>
    <b v="0"/>
    <n v="0.67395748200000005"/>
    <n v="1"/>
    <s v="Sep"/>
    <n v="2027"/>
    <s v="Q3"/>
  </r>
  <r>
    <n v="993"/>
    <x v="992"/>
    <x v="2"/>
    <n v="3354"/>
    <n v="1022"/>
    <n v="2745"/>
    <n v="2765"/>
    <n v="2464"/>
    <n v="0.48362380999999999"/>
    <n v="2.827448564"/>
    <n v="1838"/>
    <n v="205"/>
    <n v="6"/>
    <n v="1.5935481869999999"/>
    <n v="0.992792699"/>
    <b v="0"/>
    <n v="0.66394112800000005"/>
    <n v="1"/>
    <s v="Sep"/>
    <n v="2027"/>
    <s v="Q3"/>
  </r>
  <r>
    <n v="994"/>
    <x v="993"/>
    <x v="1"/>
    <n v="107"/>
    <n v="594"/>
    <n v="1281"/>
    <n v="428"/>
    <n v="794"/>
    <n v="0.41054101399999998"/>
    <n v="2.9504270830000001"/>
    <n v="123"/>
    <n v="2435"/>
    <n v="8"/>
    <n v="1.174307583"/>
    <n v="0.96531243099999997"/>
    <b v="0"/>
    <n v="2.04415E-4"/>
    <n v="1"/>
    <s v="Sep"/>
    <n v="2027"/>
    <s v="Q3"/>
  </r>
  <r>
    <n v="995"/>
    <x v="994"/>
    <x v="1"/>
    <n v="588"/>
    <n v="760"/>
    <n v="3754"/>
    <n v="1178"/>
    <n v="2434"/>
    <n v="0.79360439400000005"/>
    <n v="2.9276452740000001"/>
    <n v="3047"/>
    <n v="2235"/>
    <n v="1"/>
    <n v="0.82741779699999995"/>
    <n v="0.84627446699999997"/>
    <b v="0"/>
    <n v="9.8528209000000005E-2"/>
    <n v="1"/>
    <s v="Sep"/>
    <n v="2027"/>
    <s v="Q3"/>
  </r>
  <r>
    <n v="996"/>
    <x v="995"/>
    <x v="0"/>
    <n v="2625"/>
    <n v="2655"/>
    <n v="2152"/>
    <n v="3480"/>
    <n v="3974"/>
    <n v="0.57579355099999996"/>
    <n v="1.225115519"/>
    <n v="2240"/>
    <n v="1176"/>
    <n v="6"/>
    <n v="0.57137565199999996"/>
    <n v="0.86479694699999998"/>
    <b v="0"/>
    <n v="0.51492232199999999"/>
    <n v="0"/>
    <s v="Sep"/>
    <n v="2027"/>
    <s v="Q3"/>
  </r>
  <r>
    <n v="997"/>
    <x v="996"/>
    <x v="0"/>
    <n v="676"/>
    <n v="1586"/>
    <n v="472"/>
    <n v="3363"/>
    <n v="1952"/>
    <n v="0.40642593599999999"/>
    <n v="1.74268925"/>
    <n v="3317"/>
    <n v="1268"/>
    <n v="5"/>
    <n v="1.5354317479999999"/>
    <n v="0.98574492499999999"/>
    <b v="0"/>
    <n v="0.116516762"/>
    <n v="1"/>
    <s v="Sep"/>
    <n v="2027"/>
    <s v="Q3"/>
  </r>
  <r>
    <n v="998"/>
    <x v="997"/>
    <x v="1"/>
    <n v="2758"/>
    <n v="3624"/>
    <n v="2787"/>
    <n v="2702"/>
    <n v="3778"/>
    <n v="0.58581284"/>
    <n v="2.290614573"/>
    <n v="2494"/>
    <n v="2574"/>
    <n v="8"/>
    <n v="1.4233792139999999"/>
    <n v="0.89331408400000001"/>
    <b v="0"/>
    <n v="0.54210956700000001"/>
    <n v="1"/>
    <s v="Sep"/>
    <n v="2027"/>
    <s v="Q3"/>
  </r>
  <r>
    <n v="999"/>
    <x v="998"/>
    <x v="3"/>
    <n v="796"/>
    <n v="2063"/>
    <n v="3203"/>
    <n v="3855"/>
    <n v="1266"/>
    <n v="0.24827081200000001"/>
    <n v="2.2296705349999999"/>
    <n v="4277"/>
    <n v="1354"/>
    <n v="9"/>
    <n v="1.166093362"/>
    <n v="0.84956298799999996"/>
    <b v="0"/>
    <n v="0.14104660699999999"/>
    <n v="1"/>
    <s v="Sep"/>
    <n v="2027"/>
    <s v="Q3"/>
  </r>
  <r>
    <n v="1000"/>
    <x v="999"/>
    <x v="2"/>
    <n v="3387"/>
    <n v="4041"/>
    <n v="2545"/>
    <n v="4521"/>
    <n v="831"/>
    <n v="0.40907817499999999"/>
    <n v="2.3535351859999998"/>
    <n v="1658"/>
    <n v="3848"/>
    <n v="3"/>
    <n v="1.696703659"/>
    <n v="0.82058616900000003"/>
    <b v="0"/>
    <n v="0.67068683600000001"/>
    <n v="1"/>
    <s v="Sep"/>
    <n v="2027"/>
    <s v="Q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3215D-67AC-4EAA-8318-100CD2F3CF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D1:G62" firstHeaderRow="0" firstDataRow="1" firstDataCol="1"/>
  <pivotFields count="24">
    <pivotField showAll="0"/>
    <pivotField axis="axisRow"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5">
    <field x="2"/>
    <field x="23"/>
    <field x="22"/>
    <field x="21"/>
    <field x="1"/>
  </rowFields>
  <rowItems count="61">
    <i>
      <x/>
    </i>
    <i r="1">
      <x v="1"/>
    </i>
    <i r="2">
      <x v="1"/>
    </i>
    <i r="2">
      <x v="2"/>
    </i>
    <i r="2">
      <x v="3"/>
    </i>
    <i r="2">
      <x v="4"/>
    </i>
    <i r="1">
      <x v="2"/>
    </i>
    <i r="2">
      <x v="1"/>
    </i>
    <i r="2">
      <x v="2"/>
    </i>
    <i r="2">
      <x v="3"/>
    </i>
    <i r="2">
      <x v="4"/>
    </i>
    <i r="1">
      <x v="3"/>
    </i>
    <i r="2">
      <x v="1"/>
    </i>
    <i r="2">
      <x v="2"/>
    </i>
    <i r="2">
      <x v="3"/>
    </i>
    <i>
      <x v="1"/>
    </i>
    <i r="1">
      <x v="1"/>
    </i>
    <i r="2">
      <x v="1"/>
    </i>
    <i r="2">
      <x v="2"/>
    </i>
    <i r="2">
      <x v="3"/>
    </i>
    <i r="2">
      <x v="4"/>
    </i>
    <i r="1">
      <x v="2"/>
    </i>
    <i r="2">
      <x v="1"/>
    </i>
    <i r="2">
      <x v="2"/>
    </i>
    <i r="2">
      <x v="3"/>
    </i>
    <i r="2">
      <x v="4"/>
    </i>
    <i r="1">
      <x v="3"/>
    </i>
    <i r="2">
      <x v="1"/>
    </i>
    <i r="2">
      <x v="2"/>
    </i>
    <i r="2">
      <x v="3"/>
    </i>
    <i>
      <x v="2"/>
    </i>
    <i r="1">
      <x v="1"/>
    </i>
    <i r="2">
      <x v="1"/>
    </i>
    <i r="2">
      <x v="2"/>
    </i>
    <i r="2">
      <x v="3"/>
    </i>
    <i r="2">
      <x v="4"/>
    </i>
    <i r="1">
      <x v="2"/>
    </i>
    <i r="2">
      <x v="1"/>
    </i>
    <i r="2">
      <x v="2"/>
    </i>
    <i r="2">
      <x v="3"/>
    </i>
    <i r="2">
      <x v="4"/>
    </i>
    <i r="1">
      <x v="3"/>
    </i>
    <i r="2">
      <x v="1"/>
    </i>
    <i r="2">
      <x v="2"/>
    </i>
    <i r="2">
      <x v="3"/>
    </i>
    <i>
      <x v="3"/>
    </i>
    <i r="1">
      <x v="1"/>
    </i>
    <i r="2">
      <x v="1"/>
    </i>
    <i r="2">
      <x v="2"/>
    </i>
    <i r="2">
      <x v="3"/>
    </i>
    <i r="2">
      <x v="4"/>
    </i>
    <i r="1">
      <x v="2"/>
    </i>
    <i r="2">
      <x v="1"/>
    </i>
    <i r="2">
      <x v="2"/>
    </i>
    <i r="2">
      <x v="3"/>
    </i>
    <i r="2">
      <x v="4"/>
    </i>
    <i r="1">
      <x v="3"/>
    </i>
    <i r="2">
      <x v="1"/>
    </i>
    <i r="2">
      <x v="2"/>
    </i>
    <i r="2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6" baseField="0" baseItem="0"/>
    <dataField name="Sum of Expenditure" fld="7" baseField="0" baseItem="0"/>
    <dataField name="Sum of Net Income" fld="5" baseField="0" baseItem="0"/>
  </dataFields>
  <formats count="10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2" type="button" dataOnly="0" labelOnly="1" outline="0" axis="axisRow" fieldPosition="0"/>
    </format>
    <format dxfId="36">
      <pivotArea dataOnly="0" labelOnly="1" fieldPosition="0">
        <references count="1">
          <reference field="2" count="0"/>
        </references>
      </pivotArea>
    </format>
    <format dxfId="35">
      <pivotArea dataOnly="0" labelOnly="1" grandRow="1" outline="0" fieldPosition="0"/>
    </format>
    <format dxfId="34">
      <pivotArea dataOnly="0" labelOnly="1" fieldPosition="0">
        <references count="2">
          <reference field="2" count="1" selected="0">
            <x v="0"/>
          </reference>
          <reference field="23" count="3">
            <x v="1"/>
            <x v="2"/>
            <x v="3"/>
          </reference>
        </references>
      </pivotArea>
    </format>
    <format dxfId="33">
      <pivotArea dataOnly="0" labelOnly="1" fieldPosition="0">
        <references count="2">
          <reference field="2" count="1" selected="0">
            <x v="1"/>
          </reference>
          <reference field="23" count="3">
            <x v="1"/>
            <x v="2"/>
            <x v="3"/>
          </reference>
        </references>
      </pivotArea>
    </format>
    <format dxfId="32">
      <pivotArea dataOnly="0" labelOnly="1" fieldPosition="0">
        <references count="2">
          <reference field="2" count="1" selected="0">
            <x v="2"/>
          </reference>
          <reference field="23" count="3">
            <x v="1"/>
            <x v="2"/>
            <x v="3"/>
          </reference>
        </references>
      </pivotArea>
    </format>
    <format dxfId="31">
      <pivotArea dataOnly="0" labelOnly="1" fieldPosition="0">
        <references count="2">
          <reference field="2" count="1" selected="0">
            <x v="3"/>
          </reference>
          <reference field="23" count="3">
            <x v="1"/>
            <x v="2"/>
            <x v="3"/>
          </reference>
        </references>
      </pivotArea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081460-78FB-4977-81BF-AFAB48384E5D}" name="Table1" displayName="Table1" ref="M1:M1048576" totalsRowShown="0" headerRowDxfId="51" dataDxfId="50">
  <autoFilter ref="M1:M1048576" xr:uid="{1A081460-78FB-4977-81BF-AFAB48384E5D}"/>
  <tableColumns count="1">
    <tableColumn id="1" xr3:uid="{91100A32-C2CD-48F7-A220-9EACCDF88D35}" name="Column1" dataDxfId="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054E67-4FD1-493E-B968-4645692D6FD8}" name="Table2" displayName="Table2" ref="A1:A1048576" totalsRowShown="0" headerRowDxfId="48" dataDxfId="47">
  <autoFilter ref="A1:A1048576" xr:uid="{1E054E67-4FD1-493E-B968-4645692D6FD8}"/>
  <tableColumns count="1">
    <tableColumn id="1" xr3:uid="{1EB5CA44-8DC9-4E85-87A7-54270D492E4D}" name="Transaction ID" dataDxfId="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27A68B-FFE8-4007-ACC0-7BE9828C2084}" name="Table3" displayName="Table3" ref="B1:L1001" totalsRowShown="0">
  <autoFilter ref="B1:L1001" xr:uid="{F227A68B-FFE8-4007-ACC0-7BE9828C2084}"/>
  <tableColumns count="11">
    <tableColumn id="1" xr3:uid="{9908984B-AAF1-4CA6-8F33-2C429420E442}" name="Dates" dataDxfId="45"/>
    <tableColumn id="2" xr3:uid="{DDC96EE4-6DC7-4EC9-857D-7113004DE028}" name="Account Type" dataDxfId="44"/>
    <tableColumn id="3" xr3:uid="{0F6EBD30-B9F9-4E1B-A97F-CBCB60213DC1}" name="Transaction Amount"/>
    <tableColumn id="4" xr3:uid="{8CD4C3AE-F25A-424C-989A-A6ED08146ED0}" name="Cash Flow"/>
    <tableColumn id="5" xr3:uid="{4685206E-7E41-477E-8345-5147FA452258}" name="Net Income"/>
    <tableColumn id="6" xr3:uid="{DCB88087-5C43-4A66-AF06-C580FCA8C92F}" name="Revenue"/>
    <tableColumn id="7" xr3:uid="{8AD2AFDA-D444-43C7-B834-5DF899254939}" name="Expenditure"/>
    <tableColumn id="8" xr3:uid="{6B184364-028D-419D-9C69-8EA7F1658882}" name="Profit Margin"/>
    <tableColumn id="9" xr3:uid="{F9131FB6-9332-41FF-A197-8A40A62E7B0B}" name="Debt-to-Equity Ratio"/>
    <tableColumn id="10" xr3:uid="{2002FD74-DAEB-4BEB-B540-4E5BB188C93F}" name="Operating Expenses"/>
    <tableColumn id="11" xr3:uid="{B6FE7003-4C85-41B3-B811-A6A324FB6420}" name="Gross Profit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F089B0-7D74-455C-A7A5-759E5E922CF7}" name="Table4" displayName="Table4" ref="N1:V1001" totalsRowShown="0">
  <autoFilter ref="N1:V1001" xr:uid="{C7F089B0-7D74-455C-A7A5-759E5E922CF7}"/>
  <tableColumns count="9">
    <tableColumn id="1" xr3:uid="{2E1B3F54-D139-4DAA-B5E1-55F76AF00E43}" name="Processing Time (seconds)"/>
    <tableColumn id="2" xr3:uid="{CC18CC17-75F6-4112-AAF9-83D0D403449E}" name="Accuracy Score"/>
    <tableColumn id="3" xr3:uid="{5929C2ED-4749-4AAA-B4E5-2AD0CA471B94}" name="Missing Data Indicator"/>
    <tableColumn id="4" xr3:uid="{0A5A93B3-777B-4E84-A33A-F45379BD1ECD}" name="Normalized Transaction Amount"/>
    <tableColumn id="5" xr3:uid="{002FF775-FC6F-4446-AD42-C969A24FFB5E}" name="Transaction Outcome" dataDxfId="43"/>
    <tableColumn id="6" xr3:uid="{B08D4576-D61C-476E-BA1C-DF319B0D6442}" name="Month" dataDxfId="42">
      <calculatedColumnFormula>TEXT(B2,"MMM")</calculatedColumnFormula>
    </tableColumn>
    <tableColumn id="7" xr3:uid="{E84D3031-BEAE-4B3B-8718-F73BB244946B}" name="Year" dataDxfId="41">
      <calculatedColumnFormula>YEAR(B2)</calculatedColumnFormula>
    </tableColumn>
    <tableColumn id="8" xr3:uid="{ACBD9CFA-4781-4E1F-81E7-82ACAF0A2B9D}" name="quarter" dataDxfId="40">
      <calculatedColumnFormula>"Q"&amp;ROUNDUP(MONTH(B2)/3,0)</calculatedColumnFormula>
    </tableColumn>
    <tableColumn id="9" xr3:uid="{18BAE4C8-3F9B-4DF0-8912-6F8C765E38D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C8BA-CC7F-4B3E-BF7D-8AF0F6B4B85F}">
  <dimension ref="A1:V1001"/>
  <sheetViews>
    <sheetView topLeftCell="E1" zoomScale="60" zoomScaleNormal="100" workbookViewId="0">
      <pane ySplit="1" topLeftCell="A3" activePane="bottomLeft" state="frozen"/>
      <selection pane="bottomLeft" activeCell="Q28" sqref="Q28"/>
    </sheetView>
  </sheetViews>
  <sheetFormatPr defaultRowHeight="14.4" x14ac:dyDescent="0.3"/>
  <cols>
    <col min="1" max="1" width="17.33203125" style="2" customWidth="1"/>
    <col min="2" max="2" width="11.33203125" bestFit="1" customWidth="1"/>
    <col min="3" max="3" width="14.77734375" style="2" customWidth="1"/>
    <col min="4" max="4" width="20.77734375" customWidth="1"/>
    <col min="5" max="5" width="13.21875" customWidth="1"/>
    <col min="6" max="6" width="13.33203125" customWidth="1"/>
    <col min="7" max="7" width="10.77734375" customWidth="1"/>
    <col min="8" max="8" width="15.77734375" customWidth="1"/>
    <col min="9" max="9" width="16" customWidth="1"/>
    <col min="10" max="10" width="21.5546875" customWidth="1"/>
    <col min="11" max="11" width="20.44140625" customWidth="1"/>
    <col min="12" max="12" width="13.33203125" customWidth="1"/>
    <col min="13" max="13" width="20.44140625" style="2" customWidth="1"/>
    <col min="14" max="14" width="25.77734375" customWidth="1"/>
    <col min="15" max="15" width="16.6640625" customWidth="1"/>
    <col min="16" max="16" width="22.21875" customWidth="1"/>
    <col min="17" max="17" width="31.44140625" customWidth="1"/>
    <col min="18" max="18" width="22.21875" style="2" customWidth="1"/>
    <col min="19" max="19" width="22" style="2" customWidth="1"/>
    <col min="21" max="21" width="13.109375" customWidth="1"/>
    <col min="22" max="22" width="13.5546875" customWidth="1"/>
  </cols>
  <sheetData>
    <row r="1" spans="1:22" x14ac:dyDescent="0.3">
      <c r="A1" s="2" t="s">
        <v>0</v>
      </c>
      <c r="B1" t="s">
        <v>24</v>
      </c>
      <c r="C1" s="2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2" t="s">
        <v>19</v>
      </c>
      <c r="N1" t="s">
        <v>11</v>
      </c>
      <c r="O1" t="s">
        <v>12</v>
      </c>
      <c r="P1" t="s">
        <v>13</v>
      </c>
      <c r="Q1" t="s">
        <v>14</v>
      </c>
      <c r="R1" s="2" t="s">
        <v>15</v>
      </c>
      <c r="S1" s="2" t="s">
        <v>25</v>
      </c>
      <c r="T1" t="s">
        <v>26</v>
      </c>
      <c r="U1" t="s">
        <v>27</v>
      </c>
      <c r="V1" t="s">
        <v>41</v>
      </c>
    </row>
    <row r="2" spans="1:22" x14ac:dyDescent="0.3">
      <c r="A2" s="2">
        <v>1</v>
      </c>
      <c r="B2" s="1">
        <v>45658</v>
      </c>
      <c r="C2" s="2" t="s">
        <v>16</v>
      </c>
      <c r="D2">
        <v>1176</v>
      </c>
      <c r="E2">
        <v>3184</v>
      </c>
      <c r="F2">
        <v>2174</v>
      </c>
      <c r="G2">
        <v>3137</v>
      </c>
      <c r="H2">
        <v>1823</v>
      </c>
      <c r="I2">
        <v>0.60722066299999999</v>
      </c>
      <c r="J2">
        <v>2.067003594</v>
      </c>
      <c r="K2">
        <v>4098</v>
      </c>
      <c r="L2">
        <v>2327</v>
      </c>
      <c r="M2" s="2">
        <v>8</v>
      </c>
      <c r="N2">
        <v>1.894685532</v>
      </c>
      <c r="O2">
        <v>0.95993621100000004</v>
      </c>
      <c r="P2" t="b">
        <v>0</v>
      </c>
      <c r="Q2">
        <v>0.21872444799999999</v>
      </c>
      <c r="R2" s="2">
        <v>1</v>
      </c>
      <c r="S2" s="2" t="str">
        <f>TEXT(B2,"MMM")</f>
        <v>Jan</v>
      </c>
      <c r="T2">
        <f t="shared" ref="T2:T65" si="0">YEAR(B2)</f>
        <v>2025</v>
      </c>
      <c r="U2" s="2" t="str">
        <f>"Q"&amp;ROUNDUP(MONTH(B2)/3,0)</f>
        <v>Q1</v>
      </c>
      <c r="V2" t="s">
        <v>42</v>
      </c>
    </row>
    <row r="3" spans="1:22" x14ac:dyDescent="0.3">
      <c r="A3" s="2">
        <v>2</v>
      </c>
      <c r="B3" s="1">
        <v>45659</v>
      </c>
      <c r="C3" s="2" t="s">
        <v>16</v>
      </c>
      <c r="D3">
        <v>1291</v>
      </c>
      <c r="E3">
        <v>3221</v>
      </c>
      <c r="F3">
        <v>3236</v>
      </c>
      <c r="G3">
        <v>4694</v>
      </c>
      <c r="H3">
        <v>2746</v>
      </c>
      <c r="I3">
        <v>0.35560801800000003</v>
      </c>
      <c r="J3">
        <v>2.3475371219999999</v>
      </c>
      <c r="K3">
        <v>3872</v>
      </c>
      <c r="L3">
        <v>388</v>
      </c>
      <c r="M3" s="2">
        <v>5</v>
      </c>
      <c r="N3">
        <v>1.7289898589999999</v>
      </c>
      <c r="O3">
        <v>0.96638215000000005</v>
      </c>
      <c r="P3" t="b">
        <v>0</v>
      </c>
      <c r="Q3">
        <v>0.242232216</v>
      </c>
      <c r="R3" s="2">
        <v>1</v>
      </c>
      <c r="S3" s="2" t="str">
        <f t="shared" ref="S3:S34" si="1">TEXT(B3,"MMM")</f>
        <v>Jan</v>
      </c>
      <c r="T3">
        <f t="shared" si="0"/>
        <v>2025</v>
      </c>
      <c r="U3" s="2" t="str">
        <f t="shared" ref="U3:U66" si="2">"Q"&amp;ROUNDUP(MONTH(B3)/3,0)</f>
        <v>Q1</v>
      </c>
      <c r="V3" t="str">
        <f>IF(R2=1,"Completed","Failed")</f>
        <v>Completed</v>
      </c>
    </row>
    <row r="4" spans="1:22" x14ac:dyDescent="0.3">
      <c r="A4" s="2">
        <v>3</v>
      </c>
      <c r="B4" s="1">
        <v>45660</v>
      </c>
      <c r="C4" s="2" t="s">
        <v>5</v>
      </c>
      <c r="D4">
        <v>4966</v>
      </c>
      <c r="E4">
        <v>3309</v>
      </c>
      <c r="F4">
        <v>3689</v>
      </c>
      <c r="G4">
        <v>3363</v>
      </c>
      <c r="H4">
        <v>3102</v>
      </c>
      <c r="I4">
        <v>0.67834736900000003</v>
      </c>
      <c r="J4">
        <v>1.9010029420000001</v>
      </c>
      <c r="K4">
        <v>4780</v>
      </c>
      <c r="L4">
        <v>2616</v>
      </c>
      <c r="M4" s="2">
        <v>2</v>
      </c>
      <c r="N4">
        <v>1.7070990660000001</v>
      </c>
      <c r="O4">
        <v>0.82830657299999999</v>
      </c>
      <c r="P4" t="b">
        <v>0</v>
      </c>
      <c r="Q4">
        <v>0.99345870800000002</v>
      </c>
      <c r="R4" s="2">
        <v>1</v>
      </c>
      <c r="S4" s="2" t="str">
        <f t="shared" si="1"/>
        <v>Jan</v>
      </c>
      <c r="T4">
        <f t="shared" si="0"/>
        <v>2025</v>
      </c>
      <c r="U4" s="2" t="str">
        <f t="shared" si="2"/>
        <v>Q1</v>
      </c>
      <c r="V4" t="str">
        <f t="shared" ref="V4:V67" si="3">IF(R3=1,"Completed","Failed")</f>
        <v>Completed</v>
      </c>
    </row>
    <row r="5" spans="1:22" x14ac:dyDescent="0.3">
      <c r="A5" s="2">
        <v>4</v>
      </c>
      <c r="B5" s="1">
        <v>45661</v>
      </c>
      <c r="C5" s="2" t="s">
        <v>17</v>
      </c>
      <c r="D5">
        <v>4641</v>
      </c>
      <c r="E5">
        <v>1952</v>
      </c>
      <c r="F5">
        <v>245</v>
      </c>
      <c r="G5">
        <v>4373</v>
      </c>
      <c r="H5">
        <v>808</v>
      </c>
      <c r="I5">
        <v>0.221046668</v>
      </c>
      <c r="J5">
        <v>0.93412521599999998</v>
      </c>
      <c r="K5">
        <v>4948</v>
      </c>
      <c r="L5">
        <v>2237</v>
      </c>
      <c r="M5" s="2">
        <v>8</v>
      </c>
      <c r="N5">
        <v>1.750640693</v>
      </c>
      <c r="O5">
        <v>0.98414911100000002</v>
      </c>
      <c r="P5" t="b">
        <v>0</v>
      </c>
      <c r="Q5">
        <v>0.927023712</v>
      </c>
      <c r="R5" s="2">
        <v>1</v>
      </c>
      <c r="S5" s="2" t="str">
        <f t="shared" si="1"/>
        <v>Jan</v>
      </c>
      <c r="T5">
        <f t="shared" si="0"/>
        <v>2025</v>
      </c>
      <c r="U5" s="2" t="str">
        <f t="shared" si="2"/>
        <v>Q1</v>
      </c>
      <c r="V5" t="str">
        <f t="shared" si="3"/>
        <v>Completed</v>
      </c>
    </row>
    <row r="6" spans="1:22" x14ac:dyDescent="0.3">
      <c r="A6" s="2">
        <v>5</v>
      </c>
      <c r="B6" s="1">
        <v>45662</v>
      </c>
      <c r="C6" s="2" t="s">
        <v>17</v>
      </c>
      <c r="D6">
        <v>2305</v>
      </c>
      <c r="E6">
        <v>2131</v>
      </c>
      <c r="F6">
        <v>2037</v>
      </c>
      <c r="G6">
        <v>4956</v>
      </c>
      <c r="H6">
        <v>644</v>
      </c>
      <c r="I6">
        <v>0.50932281400000001</v>
      </c>
      <c r="J6">
        <v>1.0611779670000001</v>
      </c>
      <c r="K6">
        <v>3289</v>
      </c>
      <c r="L6">
        <v>1729</v>
      </c>
      <c r="M6" s="2">
        <v>3</v>
      </c>
      <c r="N6">
        <v>0.87970753599999996</v>
      </c>
      <c r="O6">
        <v>0.92910714900000002</v>
      </c>
      <c r="P6" t="b">
        <v>0</v>
      </c>
      <c r="Q6">
        <v>0.44950940299999997</v>
      </c>
      <c r="R6" s="2">
        <v>1</v>
      </c>
      <c r="S6" s="2" t="str">
        <f t="shared" si="1"/>
        <v>Jan</v>
      </c>
      <c r="T6">
        <f t="shared" si="0"/>
        <v>2025</v>
      </c>
      <c r="U6" s="2" t="str">
        <f t="shared" si="2"/>
        <v>Q1</v>
      </c>
      <c r="V6" t="str">
        <f t="shared" si="3"/>
        <v>Completed</v>
      </c>
    </row>
    <row r="7" spans="1:22" x14ac:dyDescent="0.3">
      <c r="A7" s="2">
        <v>6</v>
      </c>
      <c r="B7" s="1">
        <v>45663</v>
      </c>
      <c r="C7" s="2" t="s">
        <v>5</v>
      </c>
      <c r="D7">
        <v>3102</v>
      </c>
      <c r="E7">
        <v>2795</v>
      </c>
      <c r="F7">
        <v>1715</v>
      </c>
      <c r="G7">
        <v>909</v>
      </c>
      <c r="H7">
        <v>3287</v>
      </c>
      <c r="I7">
        <v>0.43844813999999999</v>
      </c>
      <c r="J7">
        <v>2.5464916899999999</v>
      </c>
      <c r="K7">
        <v>3129</v>
      </c>
      <c r="L7">
        <v>1770</v>
      </c>
      <c r="M7" s="2">
        <v>2</v>
      </c>
      <c r="N7">
        <v>1.294921781</v>
      </c>
      <c r="O7">
        <v>0.88266947600000001</v>
      </c>
      <c r="P7" t="b">
        <v>0</v>
      </c>
      <c r="Q7">
        <v>0.61242845499999998</v>
      </c>
      <c r="R7" s="2">
        <v>1</v>
      </c>
      <c r="S7" s="2" t="str">
        <f t="shared" si="1"/>
        <v>Jan</v>
      </c>
      <c r="T7">
        <f t="shared" si="0"/>
        <v>2025</v>
      </c>
      <c r="U7" s="2" t="str">
        <f t="shared" si="2"/>
        <v>Q1</v>
      </c>
      <c r="V7" t="str">
        <f t="shared" si="3"/>
        <v>Completed</v>
      </c>
    </row>
    <row r="8" spans="1:22" x14ac:dyDescent="0.3">
      <c r="A8" s="2">
        <v>7</v>
      </c>
      <c r="B8" s="1">
        <v>45664</v>
      </c>
      <c r="C8" s="2" t="s">
        <v>5</v>
      </c>
      <c r="D8">
        <v>3847</v>
      </c>
      <c r="E8">
        <v>2485</v>
      </c>
      <c r="F8">
        <v>3955</v>
      </c>
      <c r="G8">
        <v>4309</v>
      </c>
      <c r="H8">
        <v>3011</v>
      </c>
      <c r="I8">
        <v>0.77112954600000005</v>
      </c>
      <c r="J8">
        <v>2.1858049460000002</v>
      </c>
      <c r="K8">
        <v>3877</v>
      </c>
      <c r="L8">
        <v>567</v>
      </c>
      <c r="M8" s="2">
        <v>5</v>
      </c>
      <c r="N8">
        <v>1.43032063</v>
      </c>
      <c r="O8">
        <v>0.80249118200000003</v>
      </c>
      <c r="P8" t="b">
        <v>0</v>
      </c>
      <c r="Q8">
        <v>0.76471790699999997</v>
      </c>
      <c r="R8" s="2">
        <v>1</v>
      </c>
      <c r="S8" s="2" t="str">
        <f t="shared" si="1"/>
        <v>Jan</v>
      </c>
      <c r="T8">
        <f t="shared" si="0"/>
        <v>2025</v>
      </c>
      <c r="U8" s="2" t="str">
        <f t="shared" si="2"/>
        <v>Q1</v>
      </c>
      <c r="V8" t="str">
        <f t="shared" si="3"/>
        <v>Completed</v>
      </c>
    </row>
    <row r="9" spans="1:22" x14ac:dyDescent="0.3">
      <c r="A9" s="2">
        <v>8</v>
      </c>
      <c r="B9" s="1">
        <v>45665</v>
      </c>
      <c r="C9" s="2" t="s">
        <v>16</v>
      </c>
      <c r="D9">
        <v>3061</v>
      </c>
      <c r="E9">
        <v>4125</v>
      </c>
      <c r="F9">
        <v>3477</v>
      </c>
      <c r="G9">
        <v>612</v>
      </c>
      <c r="H9">
        <v>3914</v>
      </c>
      <c r="I9">
        <v>0.55101234200000004</v>
      </c>
      <c r="J9">
        <v>1.0908808400000001</v>
      </c>
      <c r="K9">
        <v>1875</v>
      </c>
      <c r="L9">
        <v>3335</v>
      </c>
      <c r="M9" s="2">
        <v>3</v>
      </c>
      <c r="N9">
        <v>1.2391209240000001</v>
      </c>
      <c r="O9">
        <v>0.82807603399999996</v>
      </c>
      <c r="P9" t="b">
        <v>0</v>
      </c>
      <c r="Q9">
        <v>0.604047424</v>
      </c>
      <c r="R9" s="2">
        <v>1</v>
      </c>
      <c r="S9" s="2" t="str">
        <f t="shared" si="1"/>
        <v>Jan</v>
      </c>
      <c r="T9">
        <f t="shared" si="0"/>
        <v>2025</v>
      </c>
      <c r="U9" s="2" t="str">
        <f t="shared" si="2"/>
        <v>Q1</v>
      </c>
      <c r="V9" t="str">
        <f t="shared" si="3"/>
        <v>Completed</v>
      </c>
    </row>
    <row r="10" spans="1:22" x14ac:dyDescent="0.3">
      <c r="A10" s="2">
        <v>9</v>
      </c>
      <c r="B10" s="1">
        <v>45666</v>
      </c>
      <c r="C10" s="2" t="s">
        <v>17</v>
      </c>
      <c r="D10">
        <v>1490</v>
      </c>
      <c r="E10">
        <v>2044</v>
      </c>
      <c r="F10">
        <v>1907</v>
      </c>
      <c r="G10">
        <v>3273</v>
      </c>
      <c r="H10">
        <v>1045</v>
      </c>
      <c r="I10">
        <v>0.41244077099999998</v>
      </c>
      <c r="J10">
        <v>2.9322883009999998</v>
      </c>
      <c r="K10">
        <v>4847</v>
      </c>
      <c r="L10">
        <v>621</v>
      </c>
      <c r="M10" s="2">
        <v>2</v>
      </c>
      <c r="N10">
        <v>1.5171367090000001</v>
      </c>
      <c r="O10">
        <v>0.80808655900000004</v>
      </c>
      <c r="P10" t="b">
        <v>0</v>
      </c>
      <c r="Q10">
        <v>0.28291087500000001</v>
      </c>
      <c r="R10" s="2">
        <v>1</v>
      </c>
      <c r="S10" s="2" t="str">
        <f t="shared" si="1"/>
        <v>Jan</v>
      </c>
      <c r="T10">
        <f t="shared" si="0"/>
        <v>2025</v>
      </c>
      <c r="U10" s="2" t="str">
        <f t="shared" si="2"/>
        <v>Q1</v>
      </c>
      <c r="V10" t="str">
        <f t="shared" si="3"/>
        <v>Completed</v>
      </c>
    </row>
    <row r="11" spans="1:22" x14ac:dyDescent="0.3">
      <c r="A11" s="2">
        <v>10</v>
      </c>
      <c r="B11" s="1">
        <v>45667</v>
      </c>
      <c r="C11" s="2" t="s">
        <v>18</v>
      </c>
      <c r="D11">
        <v>3265</v>
      </c>
      <c r="E11">
        <v>3041</v>
      </c>
      <c r="F11">
        <v>2905</v>
      </c>
      <c r="G11">
        <v>898</v>
      </c>
      <c r="H11">
        <v>3931</v>
      </c>
      <c r="I11">
        <v>0.78966606900000003</v>
      </c>
      <c r="J11">
        <v>2.7887179309999999</v>
      </c>
      <c r="K11">
        <v>2001</v>
      </c>
      <c r="L11">
        <v>2829</v>
      </c>
      <c r="M11" s="2">
        <v>5</v>
      </c>
      <c r="N11">
        <v>0.55829649000000003</v>
      </c>
      <c r="O11">
        <v>0.86584618099999999</v>
      </c>
      <c r="P11" t="b">
        <v>0</v>
      </c>
      <c r="Q11">
        <v>0.64574816000000002</v>
      </c>
      <c r="R11" s="2">
        <v>1</v>
      </c>
      <c r="S11" s="2" t="str">
        <f t="shared" si="1"/>
        <v>Jan</v>
      </c>
      <c r="T11">
        <f t="shared" si="0"/>
        <v>2025</v>
      </c>
      <c r="U11" s="2" t="str">
        <f t="shared" si="2"/>
        <v>Q1</v>
      </c>
      <c r="V11" t="str">
        <f t="shared" si="3"/>
        <v>Completed</v>
      </c>
    </row>
    <row r="12" spans="1:22" x14ac:dyDescent="0.3">
      <c r="A12" s="2">
        <v>11</v>
      </c>
      <c r="B12" s="1">
        <v>45668</v>
      </c>
      <c r="C12" s="2" t="s">
        <v>17</v>
      </c>
      <c r="D12">
        <v>407</v>
      </c>
      <c r="E12">
        <v>1700</v>
      </c>
      <c r="F12">
        <v>2616</v>
      </c>
      <c r="G12">
        <v>2987</v>
      </c>
      <c r="H12">
        <v>362</v>
      </c>
      <c r="I12">
        <v>0.64456065900000004</v>
      </c>
      <c r="J12">
        <v>2.1341940730000002</v>
      </c>
      <c r="K12">
        <v>521</v>
      </c>
      <c r="L12">
        <v>3648</v>
      </c>
      <c r="M12" s="2">
        <v>7</v>
      </c>
      <c r="N12">
        <v>0.57642782599999998</v>
      </c>
      <c r="O12">
        <v>0.91019391500000002</v>
      </c>
      <c r="P12" t="b">
        <v>0</v>
      </c>
      <c r="Q12">
        <v>6.1529027E-2</v>
      </c>
      <c r="R12" s="2">
        <v>1</v>
      </c>
      <c r="S12" s="2" t="str">
        <f t="shared" si="1"/>
        <v>Jan</v>
      </c>
      <c r="T12">
        <f t="shared" si="0"/>
        <v>2025</v>
      </c>
      <c r="U12" s="2" t="str">
        <f t="shared" si="2"/>
        <v>Q1</v>
      </c>
      <c r="V12" t="str">
        <f t="shared" si="3"/>
        <v>Completed</v>
      </c>
    </row>
    <row r="13" spans="1:22" x14ac:dyDescent="0.3">
      <c r="A13" s="2">
        <v>12</v>
      </c>
      <c r="B13" s="1">
        <v>45669</v>
      </c>
      <c r="C13" s="2" t="s">
        <v>5</v>
      </c>
      <c r="D13">
        <v>4768</v>
      </c>
      <c r="E13">
        <v>1946</v>
      </c>
      <c r="F13">
        <v>3422</v>
      </c>
      <c r="G13">
        <v>2035</v>
      </c>
      <c r="H13">
        <v>534</v>
      </c>
      <c r="I13">
        <v>0.48988105900000001</v>
      </c>
      <c r="J13">
        <v>2.7432574280000002</v>
      </c>
      <c r="K13">
        <v>3890</v>
      </c>
      <c r="L13">
        <v>3378</v>
      </c>
      <c r="M13" s="2">
        <v>2</v>
      </c>
      <c r="N13">
        <v>0.50215104700000002</v>
      </c>
      <c r="O13">
        <v>0.84860005299999997</v>
      </c>
      <c r="P13" t="b">
        <v>0</v>
      </c>
      <c r="Q13">
        <v>0.95298446400000003</v>
      </c>
      <c r="R13" s="2">
        <v>1</v>
      </c>
      <c r="S13" s="2" t="str">
        <f t="shared" si="1"/>
        <v>Jan</v>
      </c>
      <c r="T13">
        <f t="shared" si="0"/>
        <v>2025</v>
      </c>
      <c r="U13" s="2" t="str">
        <f t="shared" si="2"/>
        <v>Q1</v>
      </c>
      <c r="V13" t="str">
        <f t="shared" si="3"/>
        <v>Completed</v>
      </c>
    </row>
    <row r="14" spans="1:22" x14ac:dyDescent="0.3">
      <c r="A14" s="2">
        <v>13</v>
      </c>
      <c r="B14" s="1">
        <v>45670</v>
      </c>
      <c r="C14" s="2" t="s">
        <v>5</v>
      </c>
      <c r="D14">
        <v>3197</v>
      </c>
      <c r="E14">
        <v>3969</v>
      </c>
      <c r="F14">
        <v>375</v>
      </c>
      <c r="G14">
        <v>2739</v>
      </c>
      <c r="H14">
        <v>272</v>
      </c>
      <c r="I14">
        <v>0.77191140599999997</v>
      </c>
      <c r="J14">
        <v>1.854008587</v>
      </c>
      <c r="K14">
        <v>4106</v>
      </c>
      <c r="L14">
        <v>1070</v>
      </c>
      <c r="M14" s="2">
        <v>9</v>
      </c>
      <c r="N14">
        <v>0.60933380500000001</v>
      </c>
      <c r="O14">
        <v>0.92222891600000001</v>
      </c>
      <c r="P14" t="b">
        <v>0</v>
      </c>
      <c r="Q14">
        <v>0.63184791500000004</v>
      </c>
      <c r="R14" s="2">
        <v>0</v>
      </c>
      <c r="S14" s="2" t="str">
        <f t="shared" si="1"/>
        <v>Jan</v>
      </c>
      <c r="T14">
        <f t="shared" si="0"/>
        <v>2025</v>
      </c>
      <c r="U14" s="2" t="str">
        <f t="shared" si="2"/>
        <v>Q1</v>
      </c>
      <c r="V14" t="str">
        <f t="shared" si="3"/>
        <v>Completed</v>
      </c>
    </row>
    <row r="15" spans="1:22" x14ac:dyDescent="0.3">
      <c r="A15" s="2">
        <v>14</v>
      </c>
      <c r="B15" s="1">
        <v>45671</v>
      </c>
      <c r="C15" s="2" t="s">
        <v>5</v>
      </c>
      <c r="D15">
        <v>3997</v>
      </c>
      <c r="E15">
        <v>3825</v>
      </c>
      <c r="F15">
        <v>3205</v>
      </c>
      <c r="G15">
        <v>4541</v>
      </c>
      <c r="H15">
        <v>2145</v>
      </c>
      <c r="I15">
        <v>0.59743016500000001</v>
      </c>
      <c r="J15">
        <v>2.4119790069999998</v>
      </c>
      <c r="K15">
        <v>2571</v>
      </c>
      <c r="L15">
        <v>1689</v>
      </c>
      <c r="M15" s="2">
        <v>8</v>
      </c>
      <c r="N15">
        <v>1.613094171</v>
      </c>
      <c r="O15">
        <v>0.94190406999999998</v>
      </c>
      <c r="P15" t="b">
        <v>0</v>
      </c>
      <c r="Q15">
        <v>0.79538021299999995</v>
      </c>
      <c r="R15" s="2">
        <v>1</v>
      </c>
      <c r="S15" s="2" t="str">
        <f t="shared" si="1"/>
        <v>Jan</v>
      </c>
      <c r="T15">
        <f t="shared" si="0"/>
        <v>2025</v>
      </c>
      <c r="U15" s="2" t="str">
        <f t="shared" si="2"/>
        <v>Q1</v>
      </c>
      <c r="V15" t="str">
        <f t="shared" si="3"/>
        <v>Failed</v>
      </c>
    </row>
    <row r="16" spans="1:22" x14ac:dyDescent="0.3">
      <c r="A16" s="2">
        <v>15</v>
      </c>
      <c r="B16" s="1">
        <v>45672</v>
      </c>
      <c r="C16" s="2" t="s">
        <v>5</v>
      </c>
      <c r="D16">
        <v>2244</v>
      </c>
      <c r="E16">
        <v>2306</v>
      </c>
      <c r="F16">
        <v>772</v>
      </c>
      <c r="G16">
        <v>4540</v>
      </c>
      <c r="H16">
        <v>3912</v>
      </c>
      <c r="I16">
        <v>0.74860937800000005</v>
      </c>
      <c r="J16">
        <v>1.860734672</v>
      </c>
      <c r="K16">
        <v>1644</v>
      </c>
      <c r="L16">
        <v>865</v>
      </c>
      <c r="M16" s="2">
        <v>8</v>
      </c>
      <c r="N16">
        <v>1.5941674939999999</v>
      </c>
      <c r="O16">
        <v>0.87515897600000003</v>
      </c>
      <c r="P16" t="b">
        <v>0</v>
      </c>
      <c r="Q16">
        <v>0.43704006499999998</v>
      </c>
      <c r="R16" s="2">
        <v>1</v>
      </c>
      <c r="S16" s="2" t="str">
        <f t="shared" si="1"/>
        <v>Jan</v>
      </c>
      <c r="T16">
        <f t="shared" si="0"/>
        <v>2025</v>
      </c>
      <c r="U16" s="2" t="str">
        <f t="shared" si="2"/>
        <v>Q1</v>
      </c>
      <c r="V16" t="str">
        <f t="shared" si="3"/>
        <v>Completed</v>
      </c>
    </row>
    <row r="17" spans="1:22" x14ac:dyDescent="0.3">
      <c r="A17" s="2">
        <v>16</v>
      </c>
      <c r="B17" s="1">
        <v>45673</v>
      </c>
      <c r="C17" s="2" t="s">
        <v>5</v>
      </c>
      <c r="D17">
        <v>3232</v>
      </c>
      <c r="E17">
        <v>1442</v>
      </c>
      <c r="F17">
        <v>3692</v>
      </c>
      <c r="G17">
        <v>574</v>
      </c>
      <c r="H17">
        <v>3863</v>
      </c>
      <c r="I17">
        <v>0.63863409100000001</v>
      </c>
      <c r="J17">
        <v>2.4858872669999998</v>
      </c>
      <c r="K17">
        <v>2449</v>
      </c>
      <c r="L17">
        <v>3677</v>
      </c>
      <c r="M17" s="2">
        <v>5</v>
      </c>
      <c r="N17">
        <v>1.093358439</v>
      </c>
      <c r="O17">
        <v>0.895743925</v>
      </c>
      <c r="P17" t="b">
        <v>0</v>
      </c>
      <c r="Q17">
        <v>0.63900245300000003</v>
      </c>
      <c r="R17" s="2">
        <v>1</v>
      </c>
      <c r="S17" s="2" t="str">
        <f t="shared" si="1"/>
        <v>Jan</v>
      </c>
      <c r="T17">
        <f t="shared" si="0"/>
        <v>2025</v>
      </c>
      <c r="U17" s="2" t="str">
        <f t="shared" si="2"/>
        <v>Q1</v>
      </c>
      <c r="V17" t="str">
        <f t="shared" si="3"/>
        <v>Completed</v>
      </c>
    </row>
    <row r="18" spans="1:22" x14ac:dyDescent="0.3">
      <c r="A18" s="2">
        <v>17</v>
      </c>
      <c r="B18" s="1">
        <v>45674</v>
      </c>
      <c r="C18" s="2" t="s">
        <v>16</v>
      </c>
      <c r="D18">
        <v>1701</v>
      </c>
      <c r="E18">
        <v>2561</v>
      </c>
      <c r="F18">
        <v>3961</v>
      </c>
      <c r="G18">
        <v>3650</v>
      </c>
      <c r="H18">
        <v>1196</v>
      </c>
      <c r="I18">
        <v>0.21318330999999999</v>
      </c>
      <c r="J18">
        <v>0.54535089199999998</v>
      </c>
      <c r="K18">
        <v>2577</v>
      </c>
      <c r="L18">
        <v>699</v>
      </c>
      <c r="M18" s="2">
        <v>7</v>
      </c>
      <c r="N18">
        <v>1.898361701</v>
      </c>
      <c r="O18">
        <v>0.95974964799999996</v>
      </c>
      <c r="P18" t="b">
        <v>0</v>
      </c>
      <c r="Q18">
        <v>0.326042518</v>
      </c>
      <c r="R18" s="2">
        <v>1</v>
      </c>
      <c r="S18" s="2" t="str">
        <f t="shared" si="1"/>
        <v>Jan</v>
      </c>
      <c r="T18">
        <f t="shared" si="0"/>
        <v>2025</v>
      </c>
      <c r="U18" s="2" t="str">
        <f t="shared" si="2"/>
        <v>Q1</v>
      </c>
      <c r="V18" t="str">
        <f t="shared" si="3"/>
        <v>Completed</v>
      </c>
    </row>
    <row r="19" spans="1:22" x14ac:dyDescent="0.3">
      <c r="A19" s="2">
        <v>18</v>
      </c>
      <c r="B19" s="1">
        <v>45675</v>
      </c>
      <c r="C19" s="2" t="s">
        <v>5</v>
      </c>
      <c r="D19">
        <v>4044</v>
      </c>
      <c r="E19">
        <v>3825</v>
      </c>
      <c r="F19">
        <v>2580</v>
      </c>
      <c r="G19">
        <v>1441</v>
      </c>
      <c r="H19">
        <v>2870</v>
      </c>
      <c r="I19">
        <v>0.59740393599999997</v>
      </c>
      <c r="J19">
        <v>1.9296214279999999</v>
      </c>
      <c r="K19">
        <v>1564</v>
      </c>
      <c r="L19">
        <v>3930</v>
      </c>
      <c r="M19" s="2">
        <v>1</v>
      </c>
      <c r="N19">
        <v>1.584761799</v>
      </c>
      <c r="O19">
        <v>0.93458041800000002</v>
      </c>
      <c r="P19" t="b">
        <v>0</v>
      </c>
      <c r="Q19">
        <v>0.80498773499999998</v>
      </c>
      <c r="R19" s="2">
        <v>1</v>
      </c>
      <c r="S19" s="2" t="str">
        <f t="shared" si="1"/>
        <v>Jan</v>
      </c>
      <c r="T19">
        <f t="shared" si="0"/>
        <v>2025</v>
      </c>
      <c r="U19" s="2" t="str">
        <f t="shared" si="2"/>
        <v>Q1</v>
      </c>
      <c r="V19" t="str">
        <f t="shared" si="3"/>
        <v>Completed</v>
      </c>
    </row>
    <row r="20" spans="1:22" x14ac:dyDescent="0.3">
      <c r="A20" s="2">
        <v>19</v>
      </c>
      <c r="B20" s="1">
        <v>45676</v>
      </c>
      <c r="C20" s="2" t="s">
        <v>18</v>
      </c>
      <c r="D20">
        <v>2747</v>
      </c>
      <c r="E20">
        <v>2662</v>
      </c>
      <c r="F20">
        <v>3756</v>
      </c>
      <c r="G20">
        <v>2371</v>
      </c>
      <c r="H20">
        <v>1509</v>
      </c>
      <c r="I20">
        <v>0.64358992699999995</v>
      </c>
      <c r="J20">
        <v>0.73328379099999996</v>
      </c>
      <c r="K20">
        <v>3376</v>
      </c>
      <c r="L20">
        <v>3750</v>
      </c>
      <c r="M20" s="2">
        <v>7</v>
      </c>
      <c r="N20">
        <v>0.82155084700000003</v>
      </c>
      <c r="O20">
        <v>0.88551112399999998</v>
      </c>
      <c r="P20" t="b">
        <v>0</v>
      </c>
      <c r="Q20">
        <v>0.53986099799999998</v>
      </c>
      <c r="R20" s="2">
        <v>1</v>
      </c>
      <c r="S20" s="2" t="str">
        <f t="shared" si="1"/>
        <v>Jan</v>
      </c>
      <c r="T20">
        <f t="shared" si="0"/>
        <v>2025</v>
      </c>
      <c r="U20" s="2" t="str">
        <f t="shared" si="2"/>
        <v>Q1</v>
      </c>
      <c r="V20" t="str">
        <f t="shared" si="3"/>
        <v>Completed</v>
      </c>
    </row>
    <row r="21" spans="1:22" x14ac:dyDescent="0.3">
      <c r="A21" s="2">
        <v>20</v>
      </c>
      <c r="B21" s="1">
        <v>45677</v>
      </c>
      <c r="C21" s="2" t="s">
        <v>17</v>
      </c>
      <c r="D21">
        <v>4625</v>
      </c>
      <c r="E21">
        <v>1555</v>
      </c>
      <c r="F21">
        <v>1801</v>
      </c>
      <c r="G21">
        <v>959</v>
      </c>
      <c r="H21">
        <v>3039</v>
      </c>
      <c r="I21">
        <v>0.43635160499999998</v>
      </c>
      <c r="J21">
        <v>2.1449292560000002</v>
      </c>
      <c r="K21">
        <v>1217</v>
      </c>
      <c r="L21">
        <v>369</v>
      </c>
      <c r="M21" s="2">
        <v>9</v>
      </c>
      <c r="N21">
        <v>1.183871136</v>
      </c>
      <c r="O21">
        <v>0.90072719599999995</v>
      </c>
      <c r="P21" t="b">
        <v>0</v>
      </c>
      <c r="Q21">
        <v>0.92375306599999996</v>
      </c>
      <c r="R21" s="2">
        <v>1</v>
      </c>
      <c r="S21" s="2" t="str">
        <f t="shared" si="1"/>
        <v>Jan</v>
      </c>
      <c r="T21">
        <f t="shared" si="0"/>
        <v>2025</v>
      </c>
      <c r="U21" s="2" t="str">
        <f t="shared" si="2"/>
        <v>Q1</v>
      </c>
      <c r="V21" t="str">
        <f t="shared" si="3"/>
        <v>Completed</v>
      </c>
    </row>
    <row r="22" spans="1:22" x14ac:dyDescent="0.3">
      <c r="A22" s="2">
        <v>21</v>
      </c>
      <c r="B22" s="1">
        <v>45678</v>
      </c>
      <c r="C22" s="2" t="s">
        <v>5</v>
      </c>
      <c r="D22">
        <v>1651</v>
      </c>
      <c r="E22">
        <v>2079</v>
      </c>
      <c r="F22">
        <v>518</v>
      </c>
      <c r="G22">
        <v>2570</v>
      </c>
      <c r="H22">
        <v>2781</v>
      </c>
      <c r="I22">
        <v>0.32196842399999998</v>
      </c>
      <c r="J22">
        <v>0.80895308499999996</v>
      </c>
      <c r="K22">
        <v>1356</v>
      </c>
      <c r="L22">
        <v>1061</v>
      </c>
      <c r="M22" s="2">
        <v>7</v>
      </c>
      <c r="N22">
        <v>1.9145707970000001</v>
      </c>
      <c r="O22">
        <v>0.91873864299999997</v>
      </c>
      <c r="P22" t="b">
        <v>0</v>
      </c>
      <c r="Q22">
        <v>0.31582175000000001</v>
      </c>
      <c r="R22" s="2">
        <v>1</v>
      </c>
      <c r="S22" s="2" t="str">
        <f t="shared" si="1"/>
        <v>Jan</v>
      </c>
      <c r="T22">
        <f t="shared" si="0"/>
        <v>2025</v>
      </c>
      <c r="U22" s="2" t="str">
        <f t="shared" si="2"/>
        <v>Q1</v>
      </c>
      <c r="V22" t="str">
        <f t="shared" si="3"/>
        <v>Completed</v>
      </c>
    </row>
    <row r="23" spans="1:22" x14ac:dyDescent="0.3">
      <c r="A23" s="2">
        <v>22</v>
      </c>
      <c r="B23" s="1">
        <v>45679</v>
      </c>
      <c r="C23" s="2" t="s">
        <v>17</v>
      </c>
      <c r="D23">
        <v>1358</v>
      </c>
      <c r="E23">
        <v>3832</v>
      </c>
      <c r="F23">
        <v>3694</v>
      </c>
      <c r="G23">
        <v>326</v>
      </c>
      <c r="H23">
        <v>2370</v>
      </c>
      <c r="I23">
        <v>0.51598263099999997</v>
      </c>
      <c r="J23">
        <v>2.477615846</v>
      </c>
      <c r="K23">
        <v>3266</v>
      </c>
      <c r="L23">
        <v>2250</v>
      </c>
      <c r="M23" s="2">
        <v>3</v>
      </c>
      <c r="N23">
        <v>0.87111421200000005</v>
      </c>
      <c r="O23">
        <v>0.88521544299999999</v>
      </c>
      <c r="P23" t="b">
        <v>0</v>
      </c>
      <c r="Q23">
        <v>0.25592804600000002</v>
      </c>
      <c r="R23" s="2">
        <v>1</v>
      </c>
      <c r="S23" s="2" t="str">
        <f t="shared" si="1"/>
        <v>Jan</v>
      </c>
      <c r="T23">
        <f t="shared" si="0"/>
        <v>2025</v>
      </c>
      <c r="U23" s="2" t="str">
        <f t="shared" si="2"/>
        <v>Q1</v>
      </c>
      <c r="V23" t="str">
        <f t="shared" si="3"/>
        <v>Completed</v>
      </c>
    </row>
    <row r="24" spans="1:22" x14ac:dyDescent="0.3">
      <c r="A24" s="2">
        <v>23</v>
      </c>
      <c r="B24" s="1">
        <v>45680</v>
      </c>
      <c r="C24" s="2" t="s">
        <v>16</v>
      </c>
      <c r="D24">
        <v>1790</v>
      </c>
      <c r="E24">
        <v>1459</v>
      </c>
      <c r="F24">
        <v>1854</v>
      </c>
      <c r="G24">
        <v>1302</v>
      </c>
      <c r="H24">
        <v>167</v>
      </c>
      <c r="I24">
        <v>0.38543412500000002</v>
      </c>
      <c r="J24">
        <v>2.8734032269999998</v>
      </c>
      <c r="K24">
        <v>4390</v>
      </c>
      <c r="L24">
        <v>2503</v>
      </c>
      <c r="M24" s="2">
        <v>2</v>
      </c>
      <c r="N24">
        <v>1.425137297</v>
      </c>
      <c r="O24">
        <v>0.94633745899999999</v>
      </c>
      <c r="P24" t="b">
        <v>0</v>
      </c>
      <c r="Q24">
        <v>0.34423548700000001</v>
      </c>
      <c r="R24" s="2">
        <v>1</v>
      </c>
      <c r="S24" s="2" t="str">
        <f t="shared" si="1"/>
        <v>Jan</v>
      </c>
      <c r="T24">
        <f t="shared" si="0"/>
        <v>2025</v>
      </c>
      <c r="U24" s="2" t="str">
        <f t="shared" si="2"/>
        <v>Q1</v>
      </c>
      <c r="V24" t="str">
        <f t="shared" si="3"/>
        <v>Completed</v>
      </c>
    </row>
    <row r="25" spans="1:22" x14ac:dyDescent="0.3">
      <c r="A25" s="2">
        <v>24</v>
      </c>
      <c r="B25" s="1">
        <v>45681</v>
      </c>
      <c r="C25" s="2" t="s">
        <v>18</v>
      </c>
      <c r="D25">
        <v>758</v>
      </c>
      <c r="E25">
        <v>1701</v>
      </c>
      <c r="F25">
        <v>294</v>
      </c>
      <c r="G25">
        <v>3482</v>
      </c>
      <c r="H25">
        <v>943</v>
      </c>
      <c r="I25">
        <v>0.78850075799999997</v>
      </c>
      <c r="J25">
        <v>0.62904636199999997</v>
      </c>
      <c r="K25">
        <v>583</v>
      </c>
      <c r="L25">
        <v>1300</v>
      </c>
      <c r="M25" s="2">
        <v>2</v>
      </c>
      <c r="N25">
        <v>1.9855905570000001</v>
      </c>
      <c r="O25">
        <v>0.98051443199999999</v>
      </c>
      <c r="P25" t="b">
        <v>0</v>
      </c>
      <c r="Q25">
        <v>0.13327882299999999</v>
      </c>
      <c r="R25" s="2">
        <v>1</v>
      </c>
      <c r="S25" s="2" t="str">
        <f t="shared" si="1"/>
        <v>Jan</v>
      </c>
      <c r="T25">
        <f t="shared" si="0"/>
        <v>2025</v>
      </c>
      <c r="U25" s="2" t="str">
        <f t="shared" si="2"/>
        <v>Q1</v>
      </c>
      <c r="V25" t="str">
        <f t="shared" si="3"/>
        <v>Completed</v>
      </c>
    </row>
    <row r="26" spans="1:22" x14ac:dyDescent="0.3">
      <c r="A26" s="2">
        <v>25</v>
      </c>
      <c r="B26" s="1">
        <v>45682</v>
      </c>
      <c r="C26" s="2" t="s">
        <v>5</v>
      </c>
      <c r="D26">
        <v>2667</v>
      </c>
      <c r="E26">
        <v>2109</v>
      </c>
      <c r="F26">
        <v>1759</v>
      </c>
      <c r="G26">
        <v>2582</v>
      </c>
      <c r="H26">
        <v>1063</v>
      </c>
      <c r="I26">
        <v>0.55197753199999999</v>
      </c>
      <c r="J26">
        <v>1.975170807</v>
      </c>
      <c r="K26">
        <v>1254</v>
      </c>
      <c r="L26">
        <v>1224</v>
      </c>
      <c r="M26" s="2">
        <v>5</v>
      </c>
      <c r="N26">
        <v>1.0760670830000001</v>
      </c>
      <c r="O26">
        <v>0.81062144700000005</v>
      </c>
      <c r="P26" t="b">
        <v>0</v>
      </c>
      <c r="Q26">
        <v>0.52350776799999998</v>
      </c>
      <c r="R26" s="2">
        <v>1</v>
      </c>
      <c r="S26" s="2" t="str">
        <f t="shared" si="1"/>
        <v>Jan</v>
      </c>
      <c r="T26">
        <f t="shared" si="0"/>
        <v>2025</v>
      </c>
      <c r="U26" s="2" t="str">
        <f>"Q"&amp;ROUNDUP(MONTH(B26)/3,0)</f>
        <v>Q1</v>
      </c>
      <c r="V26" t="str">
        <f t="shared" si="3"/>
        <v>Completed</v>
      </c>
    </row>
    <row r="27" spans="1:22" x14ac:dyDescent="0.3">
      <c r="A27" s="2">
        <v>26</v>
      </c>
      <c r="B27" s="1">
        <v>45683</v>
      </c>
      <c r="C27" s="2" t="s">
        <v>18</v>
      </c>
      <c r="D27">
        <v>1377</v>
      </c>
      <c r="E27">
        <v>511</v>
      </c>
      <c r="F27">
        <v>3759</v>
      </c>
      <c r="G27">
        <v>3057</v>
      </c>
      <c r="H27">
        <v>159</v>
      </c>
      <c r="I27">
        <v>0.29507999200000001</v>
      </c>
      <c r="J27">
        <v>2.8261915040000001</v>
      </c>
      <c r="K27">
        <v>1415</v>
      </c>
      <c r="L27">
        <v>244</v>
      </c>
      <c r="M27" s="2">
        <v>3</v>
      </c>
      <c r="N27">
        <v>1.6789478250000001</v>
      </c>
      <c r="O27">
        <v>0.88335641200000004</v>
      </c>
      <c r="P27" t="b">
        <v>0</v>
      </c>
      <c r="Q27">
        <v>0.25981193800000002</v>
      </c>
      <c r="R27" s="2">
        <v>1</v>
      </c>
      <c r="S27" s="2" t="str">
        <f>TEXT(B27,"MMM")</f>
        <v>Jan</v>
      </c>
      <c r="T27">
        <f t="shared" si="0"/>
        <v>2025</v>
      </c>
      <c r="U27" s="2" t="str">
        <f t="shared" si="2"/>
        <v>Q1</v>
      </c>
      <c r="V27" t="str">
        <f t="shared" si="3"/>
        <v>Completed</v>
      </c>
    </row>
    <row r="28" spans="1:22" x14ac:dyDescent="0.3">
      <c r="A28" s="2">
        <v>27</v>
      </c>
      <c r="B28" s="1">
        <v>45684</v>
      </c>
      <c r="C28" s="2" t="s">
        <v>18</v>
      </c>
      <c r="D28">
        <v>2000</v>
      </c>
      <c r="E28">
        <v>4341</v>
      </c>
      <c r="F28">
        <v>2212</v>
      </c>
      <c r="G28">
        <v>3250</v>
      </c>
      <c r="H28">
        <v>1688</v>
      </c>
      <c r="I28">
        <v>0.77825652199999995</v>
      </c>
      <c r="J28">
        <v>2.5328658580000001</v>
      </c>
      <c r="K28">
        <v>1358</v>
      </c>
      <c r="L28">
        <v>3439</v>
      </c>
      <c r="M28" s="2">
        <v>7</v>
      </c>
      <c r="N28">
        <v>1.552823592</v>
      </c>
      <c r="O28">
        <v>0.84218625599999997</v>
      </c>
      <c r="P28" t="b">
        <v>0</v>
      </c>
      <c r="Q28">
        <v>0.38716271499999999</v>
      </c>
      <c r="R28" s="2">
        <v>1</v>
      </c>
      <c r="S28" s="2" t="str">
        <f t="shared" si="1"/>
        <v>Jan</v>
      </c>
      <c r="T28">
        <f t="shared" si="0"/>
        <v>2025</v>
      </c>
      <c r="U28" s="2" t="str">
        <f t="shared" si="2"/>
        <v>Q1</v>
      </c>
      <c r="V28" t="str">
        <f t="shared" si="3"/>
        <v>Completed</v>
      </c>
    </row>
    <row r="29" spans="1:22" x14ac:dyDescent="0.3">
      <c r="A29" s="2">
        <v>28</v>
      </c>
      <c r="B29" s="1">
        <v>45685</v>
      </c>
      <c r="C29" s="2" t="s">
        <v>17</v>
      </c>
      <c r="D29">
        <v>3699</v>
      </c>
      <c r="E29">
        <v>662</v>
      </c>
      <c r="F29">
        <v>3438</v>
      </c>
      <c r="G29">
        <v>4074</v>
      </c>
      <c r="H29">
        <v>490</v>
      </c>
      <c r="I29">
        <v>0.73212248499999999</v>
      </c>
      <c r="J29">
        <v>0.853091092</v>
      </c>
      <c r="K29">
        <v>4912</v>
      </c>
      <c r="L29">
        <v>1717</v>
      </c>
      <c r="M29" s="2">
        <v>7</v>
      </c>
      <c r="N29">
        <v>1.7936914180000001</v>
      </c>
      <c r="O29">
        <v>0.84697674599999995</v>
      </c>
      <c r="P29" t="b">
        <v>0</v>
      </c>
      <c r="Q29">
        <v>0.734464432</v>
      </c>
      <c r="R29" s="2">
        <v>1</v>
      </c>
      <c r="S29" s="2" t="str">
        <f t="shared" si="1"/>
        <v>Jan</v>
      </c>
      <c r="T29">
        <f t="shared" si="0"/>
        <v>2025</v>
      </c>
      <c r="U29" s="2" t="str">
        <f t="shared" si="2"/>
        <v>Q1</v>
      </c>
      <c r="V29" t="str">
        <f t="shared" si="3"/>
        <v>Completed</v>
      </c>
    </row>
    <row r="30" spans="1:22" x14ac:dyDescent="0.3">
      <c r="A30" s="2">
        <v>29</v>
      </c>
      <c r="B30" s="1">
        <v>45686</v>
      </c>
      <c r="C30" s="2" t="s">
        <v>5</v>
      </c>
      <c r="D30">
        <v>157</v>
      </c>
      <c r="E30">
        <v>4357</v>
      </c>
      <c r="F30">
        <v>814</v>
      </c>
      <c r="G30">
        <v>3210</v>
      </c>
      <c r="H30">
        <v>805</v>
      </c>
      <c r="I30">
        <v>0.76971665199999995</v>
      </c>
      <c r="J30">
        <v>0.59767454799999997</v>
      </c>
      <c r="K30">
        <v>4073</v>
      </c>
      <c r="L30">
        <v>592</v>
      </c>
      <c r="M30" s="2">
        <v>5</v>
      </c>
      <c r="N30">
        <v>0.97904893299999995</v>
      </c>
      <c r="O30">
        <v>0.83286004400000002</v>
      </c>
      <c r="P30" t="b">
        <v>0</v>
      </c>
      <c r="Q30">
        <v>1.0425184000000001E-2</v>
      </c>
      <c r="R30" s="2">
        <v>1</v>
      </c>
      <c r="S30" s="2" t="str">
        <f t="shared" si="1"/>
        <v>Jan</v>
      </c>
      <c r="T30">
        <f t="shared" si="0"/>
        <v>2025</v>
      </c>
      <c r="U30" s="2" t="str">
        <f t="shared" si="2"/>
        <v>Q1</v>
      </c>
      <c r="V30" t="str">
        <f t="shared" si="3"/>
        <v>Completed</v>
      </c>
    </row>
    <row r="31" spans="1:22" x14ac:dyDescent="0.3">
      <c r="A31" s="2">
        <v>30</v>
      </c>
      <c r="B31" s="1">
        <v>45687</v>
      </c>
      <c r="C31" s="2" t="s">
        <v>18</v>
      </c>
      <c r="D31">
        <v>3956</v>
      </c>
      <c r="E31">
        <v>4461</v>
      </c>
      <c r="F31">
        <v>3913</v>
      </c>
      <c r="G31">
        <v>2905</v>
      </c>
      <c r="H31">
        <v>3148</v>
      </c>
      <c r="I31">
        <v>0.60968047800000003</v>
      </c>
      <c r="J31">
        <v>0.74898323099999997</v>
      </c>
      <c r="K31">
        <v>3624</v>
      </c>
      <c r="L31">
        <v>1380</v>
      </c>
      <c r="M31" s="2">
        <v>6</v>
      </c>
      <c r="N31">
        <v>1.3250602899999999</v>
      </c>
      <c r="O31">
        <v>0.80639933500000005</v>
      </c>
      <c r="P31" t="b">
        <v>0</v>
      </c>
      <c r="Q31">
        <v>0.78699918199999996</v>
      </c>
      <c r="R31" s="2">
        <v>1</v>
      </c>
      <c r="S31" s="2" t="str">
        <f t="shared" si="1"/>
        <v>Jan</v>
      </c>
      <c r="T31">
        <f t="shared" si="0"/>
        <v>2025</v>
      </c>
      <c r="U31" s="2" t="str">
        <f t="shared" si="2"/>
        <v>Q1</v>
      </c>
      <c r="V31" t="str">
        <f t="shared" si="3"/>
        <v>Completed</v>
      </c>
    </row>
    <row r="32" spans="1:22" x14ac:dyDescent="0.3">
      <c r="A32" s="2">
        <v>31</v>
      </c>
      <c r="B32" s="1">
        <v>45688</v>
      </c>
      <c r="C32" s="2" t="s">
        <v>18</v>
      </c>
      <c r="D32">
        <v>229</v>
      </c>
      <c r="E32">
        <v>3194</v>
      </c>
      <c r="F32">
        <v>1290</v>
      </c>
      <c r="G32">
        <v>1984</v>
      </c>
      <c r="H32">
        <v>1173</v>
      </c>
      <c r="I32">
        <v>0.65397957399999995</v>
      </c>
      <c r="J32">
        <v>1.5471045590000001</v>
      </c>
      <c r="K32">
        <v>4640</v>
      </c>
      <c r="L32">
        <v>571</v>
      </c>
      <c r="M32" s="2">
        <v>2</v>
      </c>
      <c r="N32">
        <v>1.5684392739999999</v>
      </c>
      <c r="O32">
        <v>0.83101111299999997</v>
      </c>
      <c r="P32" t="b">
        <v>0</v>
      </c>
      <c r="Q32">
        <v>2.5143090999999999E-2</v>
      </c>
      <c r="R32" s="2">
        <v>1</v>
      </c>
      <c r="S32" s="2" t="str">
        <f t="shared" si="1"/>
        <v>Jan</v>
      </c>
      <c r="T32">
        <f t="shared" si="0"/>
        <v>2025</v>
      </c>
      <c r="U32" s="2" t="str">
        <f t="shared" si="2"/>
        <v>Q1</v>
      </c>
      <c r="V32" t="str">
        <f t="shared" si="3"/>
        <v>Completed</v>
      </c>
    </row>
    <row r="33" spans="1:22" x14ac:dyDescent="0.3">
      <c r="A33" s="2">
        <v>32</v>
      </c>
      <c r="B33" s="1">
        <v>45689</v>
      </c>
      <c r="C33" s="2" t="s">
        <v>5</v>
      </c>
      <c r="D33">
        <v>1045</v>
      </c>
      <c r="E33">
        <v>2588</v>
      </c>
      <c r="F33">
        <v>1293</v>
      </c>
      <c r="G33">
        <v>2942</v>
      </c>
      <c r="H33">
        <v>3060</v>
      </c>
      <c r="I33">
        <v>0.25454321400000002</v>
      </c>
      <c r="J33">
        <v>1.394562657</v>
      </c>
      <c r="K33">
        <v>605</v>
      </c>
      <c r="L33">
        <v>3220</v>
      </c>
      <c r="M33" s="2">
        <v>4</v>
      </c>
      <c r="N33">
        <v>1.5202681490000001</v>
      </c>
      <c r="O33">
        <v>0.83999511900000001</v>
      </c>
      <c r="P33" t="b">
        <v>0</v>
      </c>
      <c r="Q33">
        <v>0.19194603399999999</v>
      </c>
      <c r="R33" s="2">
        <v>1</v>
      </c>
      <c r="S33" s="2" t="str">
        <f t="shared" si="1"/>
        <v>Feb</v>
      </c>
      <c r="T33">
        <f t="shared" si="0"/>
        <v>2025</v>
      </c>
      <c r="U33" s="2" t="str">
        <f t="shared" si="2"/>
        <v>Q1</v>
      </c>
      <c r="V33" t="str">
        <f t="shared" si="3"/>
        <v>Completed</v>
      </c>
    </row>
    <row r="34" spans="1:22" x14ac:dyDescent="0.3">
      <c r="A34" s="2">
        <v>33</v>
      </c>
      <c r="B34" s="1">
        <v>45690</v>
      </c>
      <c r="C34" s="2" t="s">
        <v>18</v>
      </c>
      <c r="D34">
        <v>781</v>
      </c>
      <c r="E34">
        <v>3675</v>
      </c>
      <c r="F34">
        <v>1934</v>
      </c>
      <c r="G34">
        <v>4296</v>
      </c>
      <c r="H34">
        <v>1712</v>
      </c>
      <c r="I34">
        <v>0.68493485899999995</v>
      </c>
      <c r="J34">
        <v>2.7214146000000001</v>
      </c>
      <c r="K34">
        <v>3352</v>
      </c>
      <c r="L34">
        <v>1193</v>
      </c>
      <c r="M34" s="2">
        <v>2</v>
      </c>
      <c r="N34">
        <v>0.68339923300000005</v>
      </c>
      <c r="O34">
        <v>0.85841047400000003</v>
      </c>
      <c r="P34" t="b">
        <v>0</v>
      </c>
      <c r="Q34">
        <v>0.13798037599999999</v>
      </c>
      <c r="R34" s="2">
        <v>1</v>
      </c>
      <c r="S34" s="2" t="str">
        <f t="shared" si="1"/>
        <v>Feb</v>
      </c>
      <c r="T34">
        <f t="shared" si="0"/>
        <v>2025</v>
      </c>
      <c r="U34" s="2" t="str">
        <f t="shared" si="2"/>
        <v>Q1</v>
      </c>
      <c r="V34" t="str">
        <f t="shared" si="3"/>
        <v>Completed</v>
      </c>
    </row>
    <row r="35" spans="1:22" x14ac:dyDescent="0.3">
      <c r="A35" s="2">
        <v>34</v>
      </c>
      <c r="B35" s="1">
        <v>45691</v>
      </c>
      <c r="C35" s="2" t="s">
        <v>5</v>
      </c>
      <c r="D35">
        <v>3879</v>
      </c>
      <c r="E35">
        <v>1360</v>
      </c>
      <c r="F35">
        <v>874</v>
      </c>
      <c r="G35">
        <v>303</v>
      </c>
      <c r="H35">
        <v>3883</v>
      </c>
      <c r="I35">
        <v>0.65802019</v>
      </c>
      <c r="J35">
        <v>2.1670682499999998</v>
      </c>
      <c r="K35">
        <v>2531</v>
      </c>
      <c r="L35">
        <v>1045</v>
      </c>
      <c r="M35" s="2">
        <v>4</v>
      </c>
      <c r="N35">
        <v>1.0073852219999999</v>
      </c>
      <c r="O35">
        <v>0.86993858899999998</v>
      </c>
      <c r="P35" t="b">
        <v>0</v>
      </c>
      <c r="Q35">
        <v>0.77125919899999995</v>
      </c>
      <c r="R35" s="2">
        <v>1</v>
      </c>
      <c r="S35" s="2" t="str">
        <f t="shared" ref="S35:S65" si="4">TEXT(B35,"MMM")</f>
        <v>Feb</v>
      </c>
      <c r="T35">
        <f t="shared" si="0"/>
        <v>2025</v>
      </c>
      <c r="U35" s="2" t="str">
        <f t="shared" si="2"/>
        <v>Q1</v>
      </c>
      <c r="V35" t="str">
        <f t="shared" si="3"/>
        <v>Completed</v>
      </c>
    </row>
    <row r="36" spans="1:22" x14ac:dyDescent="0.3">
      <c r="A36" s="2">
        <v>35</v>
      </c>
      <c r="B36" s="1">
        <v>45692</v>
      </c>
      <c r="C36" s="2" t="s">
        <v>5</v>
      </c>
      <c r="D36">
        <v>888</v>
      </c>
      <c r="E36">
        <v>578</v>
      </c>
      <c r="F36">
        <v>2423</v>
      </c>
      <c r="G36">
        <v>2372</v>
      </c>
      <c r="H36">
        <v>1028</v>
      </c>
      <c r="I36">
        <v>0.491121268</v>
      </c>
      <c r="J36">
        <v>2.649812625</v>
      </c>
      <c r="K36">
        <v>575</v>
      </c>
      <c r="L36">
        <v>2453</v>
      </c>
      <c r="M36" s="2">
        <v>4</v>
      </c>
      <c r="N36">
        <v>1.171062112</v>
      </c>
      <c r="O36">
        <v>0.81422571899999996</v>
      </c>
      <c r="P36" t="b">
        <v>0</v>
      </c>
      <c r="Q36">
        <v>0.15985282100000001</v>
      </c>
      <c r="R36" s="2">
        <v>1</v>
      </c>
      <c r="S36" s="2" t="str">
        <f t="shared" si="4"/>
        <v>Feb</v>
      </c>
      <c r="T36">
        <f t="shared" si="0"/>
        <v>2025</v>
      </c>
      <c r="U36" s="2" t="str">
        <f t="shared" si="2"/>
        <v>Q1</v>
      </c>
      <c r="V36" t="str">
        <f t="shared" si="3"/>
        <v>Completed</v>
      </c>
    </row>
    <row r="37" spans="1:22" x14ac:dyDescent="0.3">
      <c r="A37" s="2">
        <v>36</v>
      </c>
      <c r="B37" s="1">
        <v>45693</v>
      </c>
      <c r="C37" s="2" t="s">
        <v>5</v>
      </c>
      <c r="D37">
        <v>603</v>
      </c>
      <c r="E37">
        <v>1075</v>
      </c>
      <c r="F37">
        <v>2082</v>
      </c>
      <c r="G37">
        <v>4657</v>
      </c>
      <c r="H37">
        <v>1538</v>
      </c>
      <c r="I37">
        <v>0.21037810800000001</v>
      </c>
      <c r="J37">
        <v>2.3928111169999999</v>
      </c>
      <c r="K37">
        <v>4666</v>
      </c>
      <c r="L37">
        <v>3643</v>
      </c>
      <c r="M37" s="2">
        <v>9</v>
      </c>
      <c r="N37">
        <v>1.821081025</v>
      </c>
      <c r="O37">
        <v>0.84361676100000005</v>
      </c>
      <c r="P37" t="b">
        <v>0</v>
      </c>
      <c r="Q37">
        <v>0.10159443999999999</v>
      </c>
      <c r="R37" s="2">
        <v>1</v>
      </c>
      <c r="S37" s="2" t="str">
        <f t="shared" si="4"/>
        <v>Feb</v>
      </c>
      <c r="T37">
        <f t="shared" si="0"/>
        <v>2025</v>
      </c>
      <c r="U37" s="2" t="str">
        <f t="shared" si="2"/>
        <v>Q1</v>
      </c>
      <c r="V37" t="str">
        <f t="shared" si="3"/>
        <v>Completed</v>
      </c>
    </row>
    <row r="38" spans="1:22" x14ac:dyDescent="0.3">
      <c r="A38" s="2">
        <v>37</v>
      </c>
      <c r="B38" s="1">
        <v>45694</v>
      </c>
      <c r="C38" s="2" t="s">
        <v>17</v>
      </c>
      <c r="D38">
        <v>2392</v>
      </c>
      <c r="E38">
        <v>2664</v>
      </c>
      <c r="F38">
        <v>2591</v>
      </c>
      <c r="G38">
        <v>2970</v>
      </c>
      <c r="H38">
        <v>633</v>
      </c>
      <c r="I38">
        <v>0.37597636499999998</v>
      </c>
      <c r="J38">
        <v>1.4265371760000001</v>
      </c>
      <c r="K38">
        <v>2710</v>
      </c>
      <c r="L38">
        <v>593</v>
      </c>
      <c r="M38" s="2">
        <v>4</v>
      </c>
      <c r="N38">
        <v>1.206829309</v>
      </c>
      <c r="O38">
        <v>0.83048828900000005</v>
      </c>
      <c r="P38" t="b">
        <v>0</v>
      </c>
      <c r="Q38">
        <v>0.46729354000000001</v>
      </c>
      <c r="R38" s="2">
        <v>1</v>
      </c>
      <c r="S38" s="2" t="str">
        <f t="shared" si="4"/>
        <v>Feb</v>
      </c>
      <c r="T38">
        <f t="shared" si="0"/>
        <v>2025</v>
      </c>
      <c r="U38" s="2" t="str">
        <f t="shared" si="2"/>
        <v>Q1</v>
      </c>
      <c r="V38" t="str">
        <f t="shared" si="3"/>
        <v>Completed</v>
      </c>
    </row>
    <row r="39" spans="1:22" x14ac:dyDescent="0.3">
      <c r="A39" s="2">
        <v>38</v>
      </c>
      <c r="B39" s="1">
        <v>45695</v>
      </c>
      <c r="C39" s="2" t="s">
        <v>16</v>
      </c>
      <c r="D39">
        <v>4671</v>
      </c>
      <c r="E39">
        <v>570</v>
      </c>
      <c r="F39">
        <v>2423</v>
      </c>
      <c r="G39">
        <v>4452</v>
      </c>
      <c r="H39">
        <v>314</v>
      </c>
      <c r="I39">
        <v>0.26252262799999998</v>
      </c>
      <c r="J39">
        <v>1.1849343800000001</v>
      </c>
      <c r="K39">
        <v>4492</v>
      </c>
      <c r="L39">
        <v>445</v>
      </c>
      <c r="M39" s="2">
        <v>6</v>
      </c>
      <c r="N39">
        <v>1.314355723</v>
      </c>
      <c r="O39">
        <v>0.96130278700000005</v>
      </c>
      <c r="P39" t="b">
        <v>0</v>
      </c>
      <c r="Q39">
        <v>0.93315617299999998</v>
      </c>
      <c r="R39" s="2">
        <v>1</v>
      </c>
      <c r="S39" s="2" t="str">
        <f t="shared" si="4"/>
        <v>Feb</v>
      </c>
      <c r="T39">
        <f t="shared" si="0"/>
        <v>2025</v>
      </c>
      <c r="U39" s="2" t="str">
        <f t="shared" si="2"/>
        <v>Q1</v>
      </c>
      <c r="V39" t="str">
        <f t="shared" si="3"/>
        <v>Completed</v>
      </c>
    </row>
    <row r="40" spans="1:22" x14ac:dyDescent="0.3">
      <c r="A40" s="2">
        <v>39</v>
      </c>
      <c r="B40" s="1">
        <v>45696</v>
      </c>
      <c r="C40" s="2" t="s">
        <v>5</v>
      </c>
      <c r="D40">
        <v>2945</v>
      </c>
      <c r="E40">
        <v>1118</v>
      </c>
      <c r="F40">
        <v>1940</v>
      </c>
      <c r="G40">
        <v>4490</v>
      </c>
      <c r="H40">
        <v>3376</v>
      </c>
      <c r="I40">
        <v>0.496912307</v>
      </c>
      <c r="J40">
        <v>1.855668109</v>
      </c>
      <c r="K40">
        <v>4557</v>
      </c>
      <c r="L40">
        <v>1269</v>
      </c>
      <c r="M40" s="2">
        <v>2</v>
      </c>
      <c r="N40">
        <v>1.514048549</v>
      </c>
      <c r="O40">
        <v>0.85519584000000004</v>
      </c>
      <c r="P40" t="b">
        <v>0</v>
      </c>
      <c r="Q40">
        <v>0.580335241</v>
      </c>
      <c r="R40" s="2">
        <v>1</v>
      </c>
      <c r="S40" s="2" t="str">
        <f t="shared" si="4"/>
        <v>Feb</v>
      </c>
      <c r="T40">
        <f t="shared" si="0"/>
        <v>2025</v>
      </c>
      <c r="U40" s="2" t="str">
        <f t="shared" si="2"/>
        <v>Q1</v>
      </c>
      <c r="V40" t="str">
        <f t="shared" si="3"/>
        <v>Completed</v>
      </c>
    </row>
    <row r="41" spans="1:22" x14ac:dyDescent="0.3">
      <c r="A41" s="2">
        <v>40</v>
      </c>
      <c r="B41" s="1">
        <v>45697</v>
      </c>
      <c r="C41" s="2" t="s">
        <v>17</v>
      </c>
      <c r="D41">
        <v>1782</v>
      </c>
      <c r="E41">
        <v>3524</v>
      </c>
      <c r="F41">
        <v>1168</v>
      </c>
      <c r="G41">
        <v>2668</v>
      </c>
      <c r="H41">
        <v>3350</v>
      </c>
      <c r="I41">
        <v>0.44592282900000002</v>
      </c>
      <c r="J41">
        <v>0.50980294800000003</v>
      </c>
      <c r="K41">
        <v>4558</v>
      </c>
      <c r="L41">
        <v>363</v>
      </c>
      <c r="M41" s="2">
        <v>6</v>
      </c>
      <c r="N41">
        <v>1.443123758</v>
      </c>
      <c r="O41">
        <v>0.93755751600000004</v>
      </c>
      <c r="P41" t="b">
        <v>0</v>
      </c>
      <c r="Q41">
        <v>0.34260016399999998</v>
      </c>
      <c r="R41" s="2">
        <v>1</v>
      </c>
      <c r="S41" s="2" t="str">
        <f t="shared" si="4"/>
        <v>Feb</v>
      </c>
      <c r="T41">
        <f t="shared" si="0"/>
        <v>2025</v>
      </c>
      <c r="U41" s="2" t="str">
        <f t="shared" si="2"/>
        <v>Q1</v>
      </c>
      <c r="V41" t="str">
        <f t="shared" si="3"/>
        <v>Completed</v>
      </c>
    </row>
    <row r="42" spans="1:22" x14ac:dyDescent="0.3">
      <c r="A42" s="2">
        <v>41</v>
      </c>
      <c r="B42" s="1">
        <v>45698</v>
      </c>
      <c r="C42" s="2" t="s">
        <v>16</v>
      </c>
      <c r="D42">
        <v>308</v>
      </c>
      <c r="E42">
        <v>2478</v>
      </c>
      <c r="F42">
        <v>1504</v>
      </c>
      <c r="G42">
        <v>4762</v>
      </c>
      <c r="H42">
        <v>499</v>
      </c>
      <c r="I42">
        <v>0.29480615100000002</v>
      </c>
      <c r="J42">
        <v>1.966868045</v>
      </c>
      <c r="K42">
        <v>982</v>
      </c>
      <c r="L42">
        <v>3149</v>
      </c>
      <c r="M42" s="2">
        <v>3</v>
      </c>
      <c r="N42">
        <v>0.83338060300000005</v>
      </c>
      <c r="O42">
        <v>0.99007877099999997</v>
      </c>
      <c r="P42" t="b">
        <v>0</v>
      </c>
      <c r="Q42">
        <v>4.1291904999999997E-2</v>
      </c>
      <c r="R42" s="2">
        <v>1</v>
      </c>
      <c r="S42" s="2" t="str">
        <f t="shared" si="4"/>
        <v>Feb</v>
      </c>
      <c r="T42">
        <f t="shared" si="0"/>
        <v>2025</v>
      </c>
      <c r="U42" s="2" t="str">
        <f t="shared" si="2"/>
        <v>Q1</v>
      </c>
      <c r="V42" t="str">
        <f t="shared" si="3"/>
        <v>Completed</v>
      </c>
    </row>
    <row r="43" spans="1:22" x14ac:dyDescent="0.3">
      <c r="A43" s="2">
        <v>42</v>
      </c>
      <c r="B43" s="1">
        <v>45699</v>
      </c>
      <c r="C43" s="2" t="s">
        <v>5</v>
      </c>
      <c r="D43">
        <v>451</v>
      </c>
      <c r="E43">
        <v>3797</v>
      </c>
      <c r="F43">
        <v>3078</v>
      </c>
      <c r="G43">
        <v>4426</v>
      </c>
      <c r="H43">
        <v>3255</v>
      </c>
      <c r="I43">
        <v>0.55093847200000001</v>
      </c>
      <c r="J43">
        <v>1.448572196</v>
      </c>
      <c r="K43">
        <v>2543</v>
      </c>
      <c r="L43">
        <v>2542</v>
      </c>
      <c r="M43" s="2">
        <v>1</v>
      </c>
      <c r="N43">
        <v>1.035449512</v>
      </c>
      <c r="O43">
        <v>0.81948848500000004</v>
      </c>
      <c r="P43" t="b">
        <v>0</v>
      </c>
      <c r="Q43">
        <v>7.0523302999999996E-2</v>
      </c>
      <c r="R43" s="2">
        <v>1</v>
      </c>
      <c r="S43" s="2" t="str">
        <f t="shared" si="4"/>
        <v>Feb</v>
      </c>
      <c r="T43">
        <f t="shared" si="0"/>
        <v>2025</v>
      </c>
      <c r="U43" s="2" t="str">
        <f t="shared" si="2"/>
        <v>Q1</v>
      </c>
      <c r="V43" t="str">
        <f t="shared" si="3"/>
        <v>Completed</v>
      </c>
    </row>
    <row r="44" spans="1:22" x14ac:dyDescent="0.3">
      <c r="A44" s="2">
        <v>43</v>
      </c>
      <c r="B44" s="1">
        <v>45700</v>
      </c>
      <c r="C44" s="2" t="s">
        <v>16</v>
      </c>
      <c r="D44">
        <v>2513</v>
      </c>
      <c r="E44">
        <v>2903</v>
      </c>
      <c r="F44">
        <v>2391</v>
      </c>
      <c r="G44">
        <v>3653</v>
      </c>
      <c r="H44">
        <v>3517</v>
      </c>
      <c r="I44">
        <v>0.77771487299999997</v>
      </c>
      <c r="J44">
        <v>1.7698773729999999</v>
      </c>
      <c r="K44">
        <v>3301</v>
      </c>
      <c r="L44">
        <v>1805</v>
      </c>
      <c r="M44" s="2">
        <v>5</v>
      </c>
      <c r="N44">
        <v>1.7401865409999999</v>
      </c>
      <c r="O44">
        <v>0.97685809999999995</v>
      </c>
      <c r="P44" t="b">
        <v>0</v>
      </c>
      <c r="Q44">
        <v>0.49202780000000002</v>
      </c>
      <c r="R44" s="2">
        <v>1</v>
      </c>
      <c r="S44" s="2" t="str">
        <f t="shared" si="4"/>
        <v>Feb</v>
      </c>
      <c r="T44">
        <f t="shared" si="0"/>
        <v>2025</v>
      </c>
      <c r="U44" s="2" t="str">
        <f t="shared" si="2"/>
        <v>Q1</v>
      </c>
      <c r="V44" t="str">
        <f t="shared" si="3"/>
        <v>Completed</v>
      </c>
    </row>
    <row r="45" spans="1:22" x14ac:dyDescent="0.3">
      <c r="A45" s="2">
        <v>44</v>
      </c>
      <c r="B45" s="1">
        <v>45701</v>
      </c>
      <c r="C45" s="2" t="s">
        <v>18</v>
      </c>
      <c r="D45">
        <v>2391</v>
      </c>
      <c r="E45">
        <v>3627</v>
      </c>
      <c r="F45">
        <v>3704</v>
      </c>
      <c r="G45">
        <v>2227</v>
      </c>
      <c r="H45">
        <v>869</v>
      </c>
      <c r="I45">
        <v>0.21095624700000001</v>
      </c>
      <c r="J45">
        <v>2.8417039580000001</v>
      </c>
      <c r="K45">
        <v>3649</v>
      </c>
      <c r="L45">
        <v>2745</v>
      </c>
      <c r="M45" s="2">
        <v>2</v>
      </c>
      <c r="N45">
        <v>1.9121817000000001</v>
      </c>
      <c r="O45">
        <v>0.840068763</v>
      </c>
      <c r="P45" t="b">
        <v>0</v>
      </c>
      <c r="Q45">
        <v>0.46708912499999999</v>
      </c>
      <c r="R45" s="2">
        <v>1</v>
      </c>
      <c r="S45" s="2" t="str">
        <f t="shared" si="4"/>
        <v>Feb</v>
      </c>
      <c r="T45">
        <f t="shared" si="0"/>
        <v>2025</v>
      </c>
      <c r="U45" s="2" t="str">
        <f t="shared" si="2"/>
        <v>Q1</v>
      </c>
      <c r="V45" t="str">
        <f t="shared" si="3"/>
        <v>Completed</v>
      </c>
    </row>
    <row r="46" spans="1:22" x14ac:dyDescent="0.3">
      <c r="A46" s="2">
        <v>45</v>
      </c>
      <c r="B46" s="1">
        <v>45702</v>
      </c>
      <c r="C46" s="2" t="s">
        <v>5</v>
      </c>
      <c r="D46">
        <v>4123</v>
      </c>
      <c r="E46">
        <v>745</v>
      </c>
      <c r="F46">
        <v>1672</v>
      </c>
      <c r="G46">
        <v>775</v>
      </c>
      <c r="H46">
        <v>2185</v>
      </c>
      <c r="I46">
        <v>0.66748825599999995</v>
      </c>
      <c r="J46">
        <v>1.432059805</v>
      </c>
      <c r="K46">
        <v>842</v>
      </c>
      <c r="L46">
        <v>193</v>
      </c>
      <c r="M46" s="2">
        <v>3</v>
      </c>
      <c r="N46">
        <v>1.2276625999999999</v>
      </c>
      <c r="O46">
        <v>0.99152009600000002</v>
      </c>
      <c r="P46" t="b">
        <v>0</v>
      </c>
      <c r="Q46">
        <v>0.82113654899999999</v>
      </c>
      <c r="R46" s="2">
        <v>1</v>
      </c>
      <c r="S46" s="2" t="str">
        <f t="shared" si="4"/>
        <v>Feb</v>
      </c>
      <c r="T46">
        <f t="shared" si="0"/>
        <v>2025</v>
      </c>
      <c r="U46" s="2" t="str">
        <f t="shared" si="2"/>
        <v>Q1</v>
      </c>
      <c r="V46" t="str">
        <f t="shared" si="3"/>
        <v>Completed</v>
      </c>
    </row>
    <row r="47" spans="1:22" x14ac:dyDescent="0.3">
      <c r="A47" s="2">
        <v>46</v>
      </c>
      <c r="B47" s="1">
        <v>45703</v>
      </c>
      <c r="C47" s="2" t="s">
        <v>5</v>
      </c>
      <c r="D47">
        <v>1096</v>
      </c>
      <c r="E47">
        <v>3784</v>
      </c>
      <c r="F47">
        <v>1742</v>
      </c>
      <c r="G47">
        <v>616</v>
      </c>
      <c r="H47">
        <v>3454</v>
      </c>
      <c r="I47">
        <v>0.46134839300000002</v>
      </c>
      <c r="J47">
        <v>0.65654681199999998</v>
      </c>
      <c r="K47">
        <v>1239</v>
      </c>
      <c r="L47">
        <v>2292</v>
      </c>
      <c r="M47" s="2">
        <v>5</v>
      </c>
      <c r="N47">
        <v>1.2171697299999999</v>
      </c>
      <c r="O47">
        <v>0.91287600999999996</v>
      </c>
      <c r="P47" t="b">
        <v>0</v>
      </c>
      <c r="Q47">
        <v>0.20237121799999999</v>
      </c>
      <c r="R47" s="2">
        <v>1</v>
      </c>
      <c r="S47" s="2" t="str">
        <f t="shared" si="4"/>
        <v>Feb</v>
      </c>
      <c r="T47">
        <f t="shared" si="0"/>
        <v>2025</v>
      </c>
      <c r="U47" s="2" t="str">
        <f t="shared" si="2"/>
        <v>Q1</v>
      </c>
      <c r="V47" t="str">
        <f t="shared" si="3"/>
        <v>Completed</v>
      </c>
    </row>
    <row r="48" spans="1:22" x14ac:dyDescent="0.3">
      <c r="A48" s="2">
        <v>47</v>
      </c>
      <c r="B48" s="1">
        <v>45704</v>
      </c>
      <c r="C48" s="2" t="s">
        <v>5</v>
      </c>
      <c r="D48">
        <v>1877</v>
      </c>
      <c r="E48">
        <v>4330</v>
      </c>
      <c r="F48">
        <v>1131</v>
      </c>
      <c r="G48">
        <v>4319</v>
      </c>
      <c r="H48">
        <v>3859</v>
      </c>
      <c r="I48">
        <v>0.77003664299999997</v>
      </c>
      <c r="J48">
        <v>2.0221526139999999</v>
      </c>
      <c r="K48">
        <v>2173</v>
      </c>
      <c r="L48">
        <v>3544</v>
      </c>
      <c r="M48" s="2">
        <v>6</v>
      </c>
      <c r="N48">
        <v>1.915310622</v>
      </c>
      <c r="O48">
        <v>0.873756109</v>
      </c>
      <c r="P48" t="b">
        <v>0</v>
      </c>
      <c r="Q48">
        <v>0.36201962399999998</v>
      </c>
      <c r="R48" s="2">
        <v>1</v>
      </c>
      <c r="S48" s="2" t="str">
        <f t="shared" si="4"/>
        <v>Feb</v>
      </c>
      <c r="T48">
        <f t="shared" si="0"/>
        <v>2025</v>
      </c>
      <c r="U48" s="2" t="str">
        <f t="shared" si="2"/>
        <v>Q1</v>
      </c>
      <c r="V48" t="str">
        <f t="shared" si="3"/>
        <v>Completed</v>
      </c>
    </row>
    <row r="49" spans="1:22" x14ac:dyDescent="0.3">
      <c r="A49" s="2">
        <v>48</v>
      </c>
      <c r="B49" s="1">
        <v>45705</v>
      </c>
      <c r="C49" s="2" t="s">
        <v>17</v>
      </c>
      <c r="D49">
        <v>4154</v>
      </c>
      <c r="E49">
        <v>2431</v>
      </c>
      <c r="F49">
        <v>3950</v>
      </c>
      <c r="G49">
        <v>2531</v>
      </c>
      <c r="H49">
        <v>2872</v>
      </c>
      <c r="I49">
        <v>0.40996965499999999</v>
      </c>
      <c r="J49">
        <v>1.717481797</v>
      </c>
      <c r="K49">
        <v>2835</v>
      </c>
      <c r="L49">
        <v>1358</v>
      </c>
      <c r="M49" s="2">
        <v>7</v>
      </c>
      <c r="N49">
        <v>1.9313559579999999</v>
      </c>
      <c r="O49">
        <v>0.91443762900000003</v>
      </c>
      <c r="P49" t="b">
        <v>0</v>
      </c>
      <c r="Q49">
        <v>0.82747342599999996</v>
      </c>
      <c r="R49" s="2">
        <v>1</v>
      </c>
      <c r="S49" s="2" t="str">
        <f t="shared" si="4"/>
        <v>Feb</v>
      </c>
      <c r="T49">
        <f t="shared" si="0"/>
        <v>2025</v>
      </c>
      <c r="U49" s="2" t="str">
        <f t="shared" si="2"/>
        <v>Q1</v>
      </c>
      <c r="V49" t="str">
        <f t="shared" si="3"/>
        <v>Completed</v>
      </c>
    </row>
    <row r="50" spans="1:22" x14ac:dyDescent="0.3">
      <c r="A50" s="2">
        <v>49</v>
      </c>
      <c r="B50" s="1">
        <v>45706</v>
      </c>
      <c r="C50" s="2" t="s">
        <v>16</v>
      </c>
      <c r="D50">
        <v>3863</v>
      </c>
      <c r="E50">
        <v>1086</v>
      </c>
      <c r="F50">
        <v>2694</v>
      </c>
      <c r="G50">
        <v>3524</v>
      </c>
      <c r="H50">
        <v>1597</v>
      </c>
      <c r="I50">
        <v>0.620811852</v>
      </c>
      <c r="J50">
        <v>2.1532607709999998</v>
      </c>
      <c r="K50">
        <v>3863</v>
      </c>
      <c r="L50">
        <v>429</v>
      </c>
      <c r="M50" s="2">
        <v>9</v>
      </c>
      <c r="N50">
        <v>0.76698919700000001</v>
      </c>
      <c r="O50">
        <v>0.89378625300000003</v>
      </c>
      <c r="P50" t="b">
        <v>0</v>
      </c>
      <c r="Q50">
        <v>0.76798855300000002</v>
      </c>
      <c r="R50" s="2">
        <v>1</v>
      </c>
      <c r="S50" s="2" t="str">
        <f t="shared" si="4"/>
        <v>Feb</v>
      </c>
      <c r="T50">
        <f t="shared" si="0"/>
        <v>2025</v>
      </c>
      <c r="U50" s="2" t="str">
        <f t="shared" si="2"/>
        <v>Q1</v>
      </c>
      <c r="V50" t="str">
        <f t="shared" si="3"/>
        <v>Completed</v>
      </c>
    </row>
    <row r="51" spans="1:22" x14ac:dyDescent="0.3">
      <c r="A51" s="2">
        <v>50</v>
      </c>
      <c r="B51" s="1">
        <v>45707</v>
      </c>
      <c r="C51" s="2" t="s">
        <v>17</v>
      </c>
      <c r="D51">
        <v>1554</v>
      </c>
      <c r="E51">
        <v>2221</v>
      </c>
      <c r="F51">
        <v>1433</v>
      </c>
      <c r="G51">
        <v>4757</v>
      </c>
      <c r="H51">
        <v>2171</v>
      </c>
      <c r="I51">
        <v>0.619280304</v>
      </c>
      <c r="J51">
        <v>1.7676925290000001</v>
      </c>
      <c r="K51">
        <v>3848</v>
      </c>
      <c r="L51">
        <v>3934</v>
      </c>
      <c r="M51" s="2">
        <v>8</v>
      </c>
      <c r="N51">
        <v>0.61698024699999998</v>
      </c>
      <c r="O51">
        <v>0.92205366799999999</v>
      </c>
      <c r="P51" t="b">
        <v>0</v>
      </c>
      <c r="Q51">
        <v>0.29599345900000001</v>
      </c>
      <c r="R51" s="2">
        <v>1</v>
      </c>
      <c r="S51" s="2" t="str">
        <f t="shared" si="4"/>
        <v>Feb</v>
      </c>
      <c r="T51">
        <f t="shared" si="0"/>
        <v>2025</v>
      </c>
      <c r="U51" s="2" t="str">
        <f t="shared" si="2"/>
        <v>Q1</v>
      </c>
      <c r="V51" t="str">
        <f t="shared" si="3"/>
        <v>Completed</v>
      </c>
    </row>
    <row r="52" spans="1:22" x14ac:dyDescent="0.3">
      <c r="A52" s="2">
        <v>51</v>
      </c>
      <c r="B52" s="1">
        <v>45708</v>
      </c>
      <c r="C52" s="2" t="s">
        <v>5</v>
      </c>
      <c r="D52">
        <v>1145</v>
      </c>
      <c r="E52">
        <v>725</v>
      </c>
      <c r="F52">
        <v>2919</v>
      </c>
      <c r="G52">
        <v>3415</v>
      </c>
      <c r="H52">
        <v>3984</v>
      </c>
      <c r="I52">
        <v>0.60663636300000001</v>
      </c>
      <c r="J52">
        <v>1.5176148410000001</v>
      </c>
      <c r="K52">
        <v>103</v>
      </c>
      <c r="L52">
        <v>3824</v>
      </c>
      <c r="M52" s="2">
        <v>1</v>
      </c>
      <c r="N52">
        <v>1.8977561060000001</v>
      </c>
      <c r="O52">
        <v>0.85094592400000002</v>
      </c>
      <c r="P52" t="b">
        <v>0</v>
      </c>
      <c r="Q52">
        <v>0.212387572</v>
      </c>
      <c r="R52" s="2">
        <v>1</v>
      </c>
      <c r="S52" s="2" t="str">
        <f t="shared" si="4"/>
        <v>Feb</v>
      </c>
      <c r="T52">
        <f t="shared" si="0"/>
        <v>2025</v>
      </c>
      <c r="U52" s="2" t="str">
        <f t="shared" si="2"/>
        <v>Q1</v>
      </c>
      <c r="V52" t="str">
        <f t="shared" si="3"/>
        <v>Completed</v>
      </c>
    </row>
    <row r="53" spans="1:22" x14ac:dyDescent="0.3">
      <c r="A53" s="2">
        <v>52</v>
      </c>
      <c r="B53" s="1">
        <v>45709</v>
      </c>
      <c r="C53" s="2" t="s">
        <v>16</v>
      </c>
      <c r="D53">
        <v>3035</v>
      </c>
      <c r="E53">
        <v>1763</v>
      </c>
      <c r="F53">
        <v>686</v>
      </c>
      <c r="G53">
        <v>1899</v>
      </c>
      <c r="H53">
        <v>3507</v>
      </c>
      <c r="I53">
        <v>0.418452661</v>
      </c>
      <c r="J53">
        <v>1.6754366039999999</v>
      </c>
      <c r="K53">
        <v>3504</v>
      </c>
      <c r="L53">
        <v>1168</v>
      </c>
      <c r="M53" s="2">
        <v>6</v>
      </c>
      <c r="N53">
        <v>0.696734627</v>
      </c>
      <c r="O53">
        <v>0.80602707299999998</v>
      </c>
      <c r="P53" t="b">
        <v>0</v>
      </c>
      <c r="Q53">
        <v>0.59873262500000002</v>
      </c>
      <c r="R53" s="2">
        <v>1</v>
      </c>
      <c r="S53" s="2" t="str">
        <f t="shared" si="4"/>
        <v>Feb</v>
      </c>
      <c r="T53">
        <f t="shared" si="0"/>
        <v>2025</v>
      </c>
      <c r="U53" s="2" t="str">
        <f t="shared" si="2"/>
        <v>Q1</v>
      </c>
      <c r="V53" t="str">
        <f t="shared" si="3"/>
        <v>Completed</v>
      </c>
    </row>
    <row r="54" spans="1:22" x14ac:dyDescent="0.3">
      <c r="A54" s="2">
        <v>53</v>
      </c>
      <c r="B54" s="1">
        <v>45710</v>
      </c>
      <c r="C54" s="2" t="s">
        <v>5</v>
      </c>
      <c r="D54">
        <v>1583</v>
      </c>
      <c r="E54">
        <v>3180</v>
      </c>
      <c r="F54">
        <v>2808</v>
      </c>
      <c r="G54">
        <v>3311</v>
      </c>
      <c r="H54">
        <v>3756</v>
      </c>
      <c r="I54">
        <v>0.367839639</v>
      </c>
      <c r="J54">
        <v>2.89166151</v>
      </c>
      <c r="K54">
        <v>3056</v>
      </c>
      <c r="L54">
        <v>1901</v>
      </c>
      <c r="M54" s="2">
        <v>4</v>
      </c>
      <c r="N54">
        <v>0.93055178000000005</v>
      </c>
      <c r="O54">
        <v>0.89215687099999996</v>
      </c>
      <c r="P54" t="b">
        <v>0</v>
      </c>
      <c r="Q54">
        <v>0.30192150400000001</v>
      </c>
      <c r="R54" s="2">
        <v>1</v>
      </c>
      <c r="S54" s="2" t="str">
        <f t="shared" si="4"/>
        <v>Feb</v>
      </c>
      <c r="T54">
        <f t="shared" si="0"/>
        <v>2025</v>
      </c>
      <c r="U54" s="2" t="str">
        <f t="shared" si="2"/>
        <v>Q1</v>
      </c>
      <c r="V54" t="str">
        <f t="shared" si="3"/>
        <v>Completed</v>
      </c>
    </row>
    <row r="55" spans="1:22" x14ac:dyDescent="0.3">
      <c r="A55" s="2">
        <v>54</v>
      </c>
      <c r="B55" s="1">
        <v>45711</v>
      </c>
      <c r="C55" s="2" t="s">
        <v>16</v>
      </c>
      <c r="D55">
        <v>3223</v>
      </c>
      <c r="E55">
        <v>1548</v>
      </c>
      <c r="F55">
        <v>3669</v>
      </c>
      <c r="G55">
        <v>3033</v>
      </c>
      <c r="H55">
        <v>1624</v>
      </c>
      <c r="I55">
        <v>0.65851878500000005</v>
      </c>
      <c r="J55">
        <v>0.67234559699999996</v>
      </c>
      <c r="K55">
        <v>4710</v>
      </c>
      <c r="L55">
        <v>1865</v>
      </c>
      <c r="M55" s="2">
        <v>5</v>
      </c>
      <c r="N55">
        <v>0.542510151</v>
      </c>
      <c r="O55">
        <v>0.96443574899999995</v>
      </c>
      <c r="P55" t="b">
        <v>0</v>
      </c>
      <c r="Q55">
        <v>0.63716271499999999</v>
      </c>
      <c r="R55" s="2">
        <v>1</v>
      </c>
      <c r="S55" s="2" t="str">
        <f t="shared" si="4"/>
        <v>Feb</v>
      </c>
      <c r="T55">
        <f t="shared" si="0"/>
        <v>2025</v>
      </c>
      <c r="U55" s="2" t="str">
        <f t="shared" si="2"/>
        <v>Q1</v>
      </c>
      <c r="V55" t="str">
        <f t="shared" si="3"/>
        <v>Completed</v>
      </c>
    </row>
    <row r="56" spans="1:22" x14ac:dyDescent="0.3">
      <c r="A56" s="2">
        <v>55</v>
      </c>
      <c r="B56" s="1">
        <v>45712</v>
      </c>
      <c r="C56" s="2" t="s">
        <v>5</v>
      </c>
      <c r="D56">
        <v>4713</v>
      </c>
      <c r="E56">
        <v>713</v>
      </c>
      <c r="F56">
        <v>2297</v>
      </c>
      <c r="G56">
        <v>1132</v>
      </c>
      <c r="H56">
        <v>3789</v>
      </c>
      <c r="I56">
        <v>0.37078195000000003</v>
      </c>
      <c r="J56">
        <v>2.1617673270000002</v>
      </c>
      <c r="K56">
        <v>3187</v>
      </c>
      <c r="L56">
        <v>2920</v>
      </c>
      <c r="M56" s="2">
        <v>5</v>
      </c>
      <c r="N56">
        <v>1.2544522950000001</v>
      </c>
      <c r="O56">
        <v>0.93906279699999995</v>
      </c>
      <c r="P56" t="b">
        <v>0</v>
      </c>
      <c r="Q56">
        <v>0.94174161899999997</v>
      </c>
      <c r="R56" s="2">
        <v>1</v>
      </c>
      <c r="S56" s="2" t="str">
        <f t="shared" si="4"/>
        <v>Feb</v>
      </c>
      <c r="T56">
        <f t="shared" si="0"/>
        <v>2025</v>
      </c>
      <c r="U56" s="2" t="str">
        <f t="shared" si="2"/>
        <v>Q1</v>
      </c>
      <c r="V56" t="str">
        <f t="shared" si="3"/>
        <v>Completed</v>
      </c>
    </row>
    <row r="57" spans="1:22" x14ac:dyDescent="0.3">
      <c r="A57" s="2">
        <v>56</v>
      </c>
      <c r="B57" s="1">
        <v>45713</v>
      </c>
      <c r="C57" s="2" t="s">
        <v>5</v>
      </c>
      <c r="D57">
        <v>518</v>
      </c>
      <c r="E57">
        <v>1473</v>
      </c>
      <c r="F57">
        <v>666</v>
      </c>
      <c r="G57">
        <v>559</v>
      </c>
      <c r="H57">
        <v>2191</v>
      </c>
      <c r="I57">
        <v>0.48907325400000001</v>
      </c>
      <c r="J57">
        <v>2.2787186359999998</v>
      </c>
      <c r="K57">
        <v>1810</v>
      </c>
      <c r="L57">
        <v>3558</v>
      </c>
      <c r="M57" s="2">
        <v>6</v>
      </c>
      <c r="N57">
        <v>1.202394642</v>
      </c>
      <c r="O57">
        <v>0.82843825599999998</v>
      </c>
      <c r="P57" t="b">
        <v>0</v>
      </c>
      <c r="Q57">
        <v>8.4219133000000002E-2</v>
      </c>
      <c r="R57" s="2">
        <v>1</v>
      </c>
      <c r="S57" s="2" t="str">
        <f t="shared" si="4"/>
        <v>Feb</v>
      </c>
      <c r="T57">
        <f t="shared" si="0"/>
        <v>2025</v>
      </c>
      <c r="U57" s="2" t="str">
        <f t="shared" si="2"/>
        <v>Q1</v>
      </c>
      <c r="V57" t="str">
        <f t="shared" si="3"/>
        <v>Completed</v>
      </c>
    </row>
    <row r="58" spans="1:22" x14ac:dyDescent="0.3">
      <c r="A58" s="2">
        <v>57</v>
      </c>
      <c r="B58" s="1">
        <v>45714</v>
      </c>
      <c r="C58" s="2" t="s">
        <v>17</v>
      </c>
      <c r="D58">
        <v>633</v>
      </c>
      <c r="E58">
        <v>1331</v>
      </c>
      <c r="F58">
        <v>1753</v>
      </c>
      <c r="G58">
        <v>3002</v>
      </c>
      <c r="H58">
        <v>708</v>
      </c>
      <c r="I58">
        <v>0.29697170000000001</v>
      </c>
      <c r="J58">
        <v>1.6240416369999999</v>
      </c>
      <c r="K58">
        <v>4507</v>
      </c>
      <c r="L58">
        <v>1837</v>
      </c>
      <c r="M58" s="2">
        <v>8</v>
      </c>
      <c r="N58">
        <v>1.2948742630000001</v>
      </c>
      <c r="O58">
        <v>0.86707157000000001</v>
      </c>
      <c r="P58" t="b">
        <v>0</v>
      </c>
      <c r="Q58">
        <v>0.107726901</v>
      </c>
      <c r="R58" s="2">
        <v>1</v>
      </c>
      <c r="S58" s="2" t="str">
        <f t="shared" si="4"/>
        <v>Feb</v>
      </c>
      <c r="T58">
        <f t="shared" si="0"/>
        <v>2025</v>
      </c>
      <c r="U58" s="2" t="str">
        <f t="shared" si="2"/>
        <v>Q1</v>
      </c>
      <c r="V58" t="str">
        <f t="shared" si="3"/>
        <v>Completed</v>
      </c>
    </row>
    <row r="59" spans="1:22" x14ac:dyDescent="0.3">
      <c r="A59" s="2">
        <v>58</v>
      </c>
      <c r="B59" s="1">
        <v>45715</v>
      </c>
      <c r="C59" s="2" t="s">
        <v>16</v>
      </c>
      <c r="D59">
        <v>1911</v>
      </c>
      <c r="E59">
        <v>3807</v>
      </c>
      <c r="F59">
        <v>2924</v>
      </c>
      <c r="G59">
        <v>3687</v>
      </c>
      <c r="H59">
        <v>2798</v>
      </c>
      <c r="I59">
        <v>0.41073805800000002</v>
      </c>
      <c r="J59">
        <v>2.1100169819999999</v>
      </c>
      <c r="K59">
        <v>1341</v>
      </c>
      <c r="L59">
        <v>2096</v>
      </c>
      <c r="M59" s="2">
        <v>3</v>
      </c>
      <c r="N59">
        <v>1.4613397720000001</v>
      </c>
      <c r="O59">
        <v>0.83754005600000003</v>
      </c>
      <c r="P59" t="b">
        <v>0</v>
      </c>
      <c r="Q59">
        <v>0.36896974700000001</v>
      </c>
      <c r="R59" s="2">
        <v>1</v>
      </c>
      <c r="S59" s="2" t="str">
        <f t="shared" si="4"/>
        <v>Feb</v>
      </c>
      <c r="T59">
        <f t="shared" si="0"/>
        <v>2025</v>
      </c>
      <c r="U59" s="2" t="str">
        <f t="shared" si="2"/>
        <v>Q1</v>
      </c>
      <c r="V59" t="str">
        <f t="shared" si="3"/>
        <v>Completed</v>
      </c>
    </row>
    <row r="60" spans="1:22" x14ac:dyDescent="0.3">
      <c r="A60" s="2">
        <v>59</v>
      </c>
      <c r="B60" s="1">
        <v>45716</v>
      </c>
      <c r="C60" s="2" t="s">
        <v>5</v>
      </c>
      <c r="D60">
        <v>3846</v>
      </c>
      <c r="E60">
        <v>3617</v>
      </c>
      <c r="F60">
        <v>495</v>
      </c>
      <c r="G60">
        <v>1572</v>
      </c>
      <c r="H60">
        <v>957</v>
      </c>
      <c r="I60">
        <v>0.41893802099999999</v>
      </c>
      <c r="J60">
        <v>2.2613639000000001</v>
      </c>
      <c r="K60">
        <v>1987</v>
      </c>
      <c r="L60">
        <v>671</v>
      </c>
      <c r="M60" s="2">
        <v>3</v>
      </c>
      <c r="N60">
        <v>1.264975661</v>
      </c>
      <c r="O60">
        <v>0.88559364299999999</v>
      </c>
      <c r="P60" t="b">
        <v>1</v>
      </c>
      <c r="Q60">
        <v>0.76451349099999999</v>
      </c>
      <c r="R60" s="2">
        <v>1</v>
      </c>
      <c r="S60" s="2" t="str">
        <f t="shared" si="4"/>
        <v>Feb</v>
      </c>
      <c r="T60">
        <f t="shared" si="0"/>
        <v>2025</v>
      </c>
      <c r="U60" s="2" t="str">
        <f t="shared" si="2"/>
        <v>Q1</v>
      </c>
      <c r="V60" t="str">
        <f t="shared" si="3"/>
        <v>Completed</v>
      </c>
    </row>
    <row r="61" spans="1:22" x14ac:dyDescent="0.3">
      <c r="A61" s="2">
        <v>60</v>
      </c>
      <c r="B61" s="1">
        <v>45717</v>
      </c>
      <c r="C61" s="2" t="s">
        <v>17</v>
      </c>
      <c r="D61">
        <v>3068</v>
      </c>
      <c r="E61">
        <v>1622</v>
      </c>
      <c r="F61">
        <v>2919</v>
      </c>
      <c r="G61">
        <v>2971</v>
      </c>
      <c r="H61">
        <v>1480</v>
      </c>
      <c r="I61">
        <v>0.74888749300000002</v>
      </c>
      <c r="J61">
        <v>2.265233469</v>
      </c>
      <c r="K61">
        <v>1751</v>
      </c>
      <c r="L61">
        <v>2380</v>
      </c>
      <c r="M61" s="2">
        <v>5</v>
      </c>
      <c r="N61">
        <v>1.56443138</v>
      </c>
      <c r="O61">
        <v>0.93819341199999995</v>
      </c>
      <c r="P61" t="b">
        <v>0</v>
      </c>
      <c r="Q61">
        <v>0.60547833200000001</v>
      </c>
      <c r="R61" s="2">
        <v>1</v>
      </c>
      <c r="S61" s="2" t="str">
        <f t="shared" si="4"/>
        <v>Mar</v>
      </c>
      <c r="T61">
        <f t="shared" si="0"/>
        <v>2025</v>
      </c>
      <c r="U61" s="2" t="str">
        <f t="shared" si="2"/>
        <v>Q1</v>
      </c>
      <c r="V61" t="str">
        <f t="shared" si="3"/>
        <v>Completed</v>
      </c>
    </row>
    <row r="62" spans="1:22" x14ac:dyDescent="0.3">
      <c r="A62" s="2">
        <v>61</v>
      </c>
      <c r="B62" s="1">
        <v>45718</v>
      </c>
      <c r="C62" s="2" t="s">
        <v>17</v>
      </c>
      <c r="D62">
        <v>1493</v>
      </c>
      <c r="E62">
        <v>2546</v>
      </c>
      <c r="F62">
        <v>2739</v>
      </c>
      <c r="G62">
        <v>3939</v>
      </c>
      <c r="H62">
        <v>1389</v>
      </c>
      <c r="I62">
        <v>0.29955357399999999</v>
      </c>
      <c r="J62">
        <v>2.6380693129999999</v>
      </c>
      <c r="K62">
        <v>2311</v>
      </c>
      <c r="L62">
        <v>2408</v>
      </c>
      <c r="M62" s="2">
        <v>6</v>
      </c>
      <c r="N62">
        <v>1.7232667800000001</v>
      </c>
      <c r="O62">
        <v>0.80458188100000005</v>
      </c>
      <c r="P62" t="b">
        <v>0</v>
      </c>
      <c r="Q62">
        <v>0.28352412100000002</v>
      </c>
      <c r="R62" s="2">
        <v>1</v>
      </c>
      <c r="S62" s="2" t="str">
        <f t="shared" si="4"/>
        <v>Mar</v>
      </c>
      <c r="T62">
        <f t="shared" si="0"/>
        <v>2025</v>
      </c>
      <c r="U62" s="2" t="str">
        <f t="shared" si="2"/>
        <v>Q1</v>
      </c>
      <c r="V62" t="str">
        <f t="shared" si="3"/>
        <v>Completed</v>
      </c>
    </row>
    <row r="63" spans="1:22" x14ac:dyDescent="0.3">
      <c r="A63" s="2">
        <v>62</v>
      </c>
      <c r="B63" s="1">
        <v>45719</v>
      </c>
      <c r="C63" s="2" t="s">
        <v>5</v>
      </c>
      <c r="D63">
        <v>2136</v>
      </c>
      <c r="E63">
        <v>984</v>
      </c>
      <c r="F63">
        <v>730</v>
      </c>
      <c r="G63">
        <v>3561</v>
      </c>
      <c r="H63">
        <v>3802</v>
      </c>
      <c r="I63">
        <v>0.77895869299999998</v>
      </c>
      <c r="J63">
        <v>2.0245074089999999</v>
      </c>
      <c r="K63">
        <v>2832</v>
      </c>
      <c r="L63">
        <v>1003</v>
      </c>
      <c r="M63" s="2">
        <v>5</v>
      </c>
      <c r="N63">
        <v>1.504078684</v>
      </c>
      <c r="O63">
        <v>0.81454211300000001</v>
      </c>
      <c r="P63" t="b">
        <v>0</v>
      </c>
      <c r="Q63">
        <v>0.414963205</v>
      </c>
      <c r="R63" s="2">
        <v>1</v>
      </c>
      <c r="S63" s="2" t="str">
        <f t="shared" si="4"/>
        <v>Mar</v>
      </c>
      <c r="T63">
        <f t="shared" si="0"/>
        <v>2025</v>
      </c>
      <c r="U63" s="2" t="str">
        <f t="shared" si="2"/>
        <v>Q1</v>
      </c>
      <c r="V63" t="str">
        <f t="shared" si="3"/>
        <v>Completed</v>
      </c>
    </row>
    <row r="64" spans="1:22" x14ac:dyDescent="0.3">
      <c r="A64" s="2">
        <v>63</v>
      </c>
      <c r="B64" s="1">
        <v>45720</v>
      </c>
      <c r="C64" s="2" t="s">
        <v>5</v>
      </c>
      <c r="D64">
        <v>1822</v>
      </c>
      <c r="E64">
        <v>1041</v>
      </c>
      <c r="F64">
        <v>766</v>
      </c>
      <c r="G64">
        <v>1769</v>
      </c>
      <c r="H64">
        <v>1654</v>
      </c>
      <c r="I64">
        <v>0.31075621799999997</v>
      </c>
      <c r="J64">
        <v>1.220216679</v>
      </c>
      <c r="K64">
        <v>2532</v>
      </c>
      <c r="L64">
        <v>3643</v>
      </c>
      <c r="M64" s="2">
        <v>4</v>
      </c>
      <c r="N64">
        <v>0.90850562099999999</v>
      </c>
      <c r="O64">
        <v>0.82812306499999999</v>
      </c>
      <c r="P64" t="b">
        <v>0</v>
      </c>
      <c r="Q64">
        <v>0.35077677800000001</v>
      </c>
      <c r="R64" s="2">
        <v>1</v>
      </c>
      <c r="S64" s="2" t="str">
        <f t="shared" si="4"/>
        <v>Mar</v>
      </c>
      <c r="T64">
        <f t="shared" si="0"/>
        <v>2025</v>
      </c>
      <c r="U64" s="2" t="str">
        <f t="shared" si="2"/>
        <v>Q1</v>
      </c>
      <c r="V64" t="str">
        <f t="shared" si="3"/>
        <v>Completed</v>
      </c>
    </row>
    <row r="65" spans="1:22" x14ac:dyDescent="0.3">
      <c r="A65" s="2">
        <v>64</v>
      </c>
      <c r="B65" s="1">
        <v>45721</v>
      </c>
      <c r="C65" s="2" t="s">
        <v>18</v>
      </c>
      <c r="D65">
        <v>4441</v>
      </c>
      <c r="E65">
        <v>3719</v>
      </c>
      <c r="F65">
        <v>3403</v>
      </c>
      <c r="G65">
        <v>1742</v>
      </c>
      <c r="H65">
        <v>3055</v>
      </c>
      <c r="I65">
        <v>0.75204453100000002</v>
      </c>
      <c r="J65">
        <v>0.75635085800000001</v>
      </c>
      <c r="K65">
        <v>4126</v>
      </c>
      <c r="L65">
        <v>3163</v>
      </c>
      <c r="M65" s="2">
        <v>7</v>
      </c>
      <c r="N65">
        <v>0.96714608300000005</v>
      </c>
      <c r="O65">
        <v>0.81386153699999997</v>
      </c>
      <c r="P65" t="b">
        <v>0</v>
      </c>
      <c r="Q65">
        <v>0.88614063799999998</v>
      </c>
      <c r="R65" s="2">
        <v>1</v>
      </c>
      <c r="S65" s="2" t="str">
        <f t="shared" si="4"/>
        <v>Mar</v>
      </c>
      <c r="T65">
        <f t="shared" si="0"/>
        <v>2025</v>
      </c>
      <c r="U65" s="2" t="str">
        <f t="shared" si="2"/>
        <v>Q1</v>
      </c>
      <c r="V65" t="str">
        <f t="shared" si="3"/>
        <v>Completed</v>
      </c>
    </row>
    <row r="66" spans="1:22" x14ac:dyDescent="0.3">
      <c r="A66" s="2">
        <v>65</v>
      </c>
      <c r="B66" s="1">
        <v>45722</v>
      </c>
      <c r="C66" s="2" t="s">
        <v>17</v>
      </c>
      <c r="D66">
        <v>402</v>
      </c>
      <c r="E66">
        <v>3247</v>
      </c>
      <c r="F66">
        <v>3288</v>
      </c>
      <c r="G66">
        <v>1052</v>
      </c>
      <c r="H66">
        <v>1450</v>
      </c>
      <c r="I66">
        <v>0.21383413600000001</v>
      </c>
      <c r="J66">
        <v>1.9631745650000001</v>
      </c>
      <c r="K66">
        <v>3291</v>
      </c>
      <c r="L66">
        <v>1775</v>
      </c>
      <c r="M66" s="2">
        <v>1</v>
      </c>
      <c r="N66">
        <v>1.31229855</v>
      </c>
      <c r="O66">
        <v>0.84104573000000005</v>
      </c>
      <c r="P66" t="b">
        <v>0</v>
      </c>
      <c r="Q66">
        <v>6.0506949999999997E-2</v>
      </c>
      <c r="R66" s="2">
        <v>1</v>
      </c>
      <c r="S66" s="2" t="str">
        <f t="shared" ref="S66:S129" si="5">TEXT(B66,"MMM")</f>
        <v>Mar</v>
      </c>
      <c r="T66">
        <f t="shared" ref="T66:T129" si="6">YEAR(B66)</f>
        <v>2025</v>
      </c>
      <c r="U66" s="2" t="str">
        <f t="shared" si="2"/>
        <v>Q1</v>
      </c>
      <c r="V66" t="str">
        <f t="shared" si="3"/>
        <v>Completed</v>
      </c>
    </row>
    <row r="67" spans="1:22" x14ac:dyDescent="0.3">
      <c r="A67" s="2">
        <v>66</v>
      </c>
      <c r="B67" s="1">
        <v>45723</v>
      </c>
      <c r="C67" s="2" t="s">
        <v>5</v>
      </c>
      <c r="D67">
        <v>3397</v>
      </c>
      <c r="E67">
        <v>3124</v>
      </c>
      <c r="F67">
        <v>722</v>
      </c>
      <c r="G67">
        <v>4461</v>
      </c>
      <c r="H67">
        <v>261</v>
      </c>
      <c r="I67">
        <v>0.30986679</v>
      </c>
      <c r="J67">
        <v>1.277252496</v>
      </c>
      <c r="K67">
        <v>111</v>
      </c>
      <c r="L67">
        <v>2927</v>
      </c>
      <c r="M67" s="2">
        <v>7</v>
      </c>
      <c r="N67">
        <v>0.99717749700000002</v>
      </c>
      <c r="O67">
        <v>0.99334713299999999</v>
      </c>
      <c r="P67" t="b">
        <v>0</v>
      </c>
      <c r="Q67">
        <v>0.67273098899999995</v>
      </c>
      <c r="R67" s="2">
        <v>0</v>
      </c>
      <c r="S67" s="2" t="str">
        <f t="shared" si="5"/>
        <v>Mar</v>
      </c>
      <c r="T67">
        <f t="shared" si="6"/>
        <v>2025</v>
      </c>
      <c r="U67" s="2" t="str">
        <f t="shared" ref="U67:U130" si="7">"Q"&amp;ROUNDUP(MONTH(B67)/3,0)</f>
        <v>Q1</v>
      </c>
      <c r="V67" t="str">
        <f t="shared" si="3"/>
        <v>Completed</v>
      </c>
    </row>
    <row r="68" spans="1:22" x14ac:dyDescent="0.3">
      <c r="A68" s="2">
        <v>67</v>
      </c>
      <c r="B68" s="1">
        <v>45724</v>
      </c>
      <c r="C68" s="2" t="s">
        <v>16</v>
      </c>
      <c r="D68">
        <v>4636</v>
      </c>
      <c r="E68">
        <v>536</v>
      </c>
      <c r="F68">
        <v>2209</v>
      </c>
      <c r="G68">
        <v>4062</v>
      </c>
      <c r="H68">
        <v>1534</v>
      </c>
      <c r="I68">
        <v>0.61733526999999999</v>
      </c>
      <c r="J68">
        <v>2.3387423959999998</v>
      </c>
      <c r="K68">
        <v>4383</v>
      </c>
      <c r="L68">
        <v>252</v>
      </c>
      <c r="M68" s="2">
        <v>3</v>
      </c>
      <c r="N68">
        <v>0.90601641300000002</v>
      </c>
      <c r="O68">
        <v>0.90354796500000001</v>
      </c>
      <c r="P68" t="b">
        <v>0</v>
      </c>
      <c r="Q68">
        <v>0.92600163499999999</v>
      </c>
      <c r="R68" s="2">
        <v>1</v>
      </c>
      <c r="S68" s="2" t="str">
        <f t="shared" si="5"/>
        <v>Mar</v>
      </c>
      <c r="T68">
        <f t="shared" si="6"/>
        <v>2025</v>
      </c>
      <c r="U68" s="2" t="str">
        <f t="shared" si="7"/>
        <v>Q1</v>
      </c>
      <c r="V68" t="str">
        <f t="shared" ref="V68:V131" si="8">IF(R67=1,"Completed","Failed")</f>
        <v>Failed</v>
      </c>
    </row>
    <row r="69" spans="1:22" x14ac:dyDescent="0.3">
      <c r="A69" s="2">
        <v>68</v>
      </c>
      <c r="B69" s="1">
        <v>45725</v>
      </c>
      <c r="C69" s="2" t="s">
        <v>5</v>
      </c>
      <c r="D69">
        <v>2438</v>
      </c>
      <c r="E69">
        <v>3692</v>
      </c>
      <c r="F69">
        <v>2565</v>
      </c>
      <c r="G69">
        <v>343</v>
      </c>
      <c r="H69">
        <v>2311</v>
      </c>
      <c r="I69">
        <v>0.55572931299999995</v>
      </c>
      <c r="J69">
        <v>0.90125054599999999</v>
      </c>
      <c r="K69">
        <v>3865</v>
      </c>
      <c r="L69">
        <v>2257</v>
      </c>
      <c r="M69" s="2">
        <v>5</v>
      </c>
      <c r="N69">
        <v>0.94468032800000001</v>
      </c>
      <c r="O69">
        <v>0.92205493999999999</v>
      </c>
      <c r="P69" t="b">
        <v>0</v>
      </c>
      <c r="Q69">
        <v>0.476696648</v>
      </c>
      <c r="R69" s="2">
        <v>1</v>
      </c>
      <c r="S69" s="2" t="str">
        <f t="shared" si="5"/>
        <v>Mar</v>
      </c>
      <c r="T69">
        <f t="shared" si="6"/>
        <v>2025</v>
      </c>
      <c r="U69" s="2" t="str">
        <f t="shared" si="7"/>
        <v>Q1</v>
      </c>
      <c r="V69" t="str">
        <f t="shared" si="8"/>
        <v>Completed</v>
      </c>
    </row>
    <row r="70" spans="1:22" x14ac:dyDescent="0.3">
      <c r="A70" s="2">
        <v>69</v>
      </c>
      <c r="B70" s="1">
        <v>45726</v>
      </c>
      <c r="C70" s="2" t="s">
        <v>18</v>
      </c>
      <c r="D70">
        <v>1140</v>
      </c>
      <c r="E70">
        <v>2315</v>
      </c>
      <c r="F70">
        <v>721</v>
      </c>
      <c r="G70">
        <v>3037</v>
      </c>
      <c r="H70">
        <v>1152</v>
      </c>
      <c r="I70">
        <v>0.61123249899999998</v>
      </c>
      <c r="J70">
        <v>1.5642003040000001</v>
      </c>
      <c r="K70">
        <v>4081</v>
      </c>
      <c r="L70">
        <v>303</v>
      </c>
      <c r="M70" s="2">
        <v>6</v>
      </c>
      <c r="N70">
        <v>0.90320840300000005</v>
      </c>
      <c r="O70">
        <v>0.89111526399999996</v>
      </c>
      <c r="P70" t="b">
        <v>0</v>
      </c>
      <c r="Q70">
        <v>0.21136549499999999</v>
      </c>
      <c r="R70" s="2">
        <v>1</v>
      </c>
      <c r="S70" s="2" t="str">
        <f t="shared" si="5"/>
        <v>Mar</v>
      </c>
      <c r="T70">
        <f t="shared" si="6"/>
        <v>2025</v>
      </c>
      <c r="U70" s="2" t="str">
        <f t="shared" si="7"/>
        <v>Q1</v>
      </c>
      <c r="V70" t="str">
        <f t="shared" si="8"/>
        <v>Completed</v>
      </c>
    </row>
    <row r="71" spans="1:22" x14ac:dyDescent="0.3">
      <c r="A71" s="2">
        <v>70</v>
      </c>
      <c r="B71" s="1">
        <v>45727</v>
      </c>
      <c r="C71" s="2" t="s">
        <v>16</v>
      </c>
      <c r="D71">
        <v>3488</v>
      </c>
      <c r="E71">
        <v>557</v>
      </c>
      <c r="F71">
        <v>3699</v>
      </c>
      <c r="G71">
        <v>4184</v>
      </c>
      <c r="H71">
        <v>2116</v>
      </c>
      <c r="I71">
        <v>0.75373515199999996</v>
      </c>
      <c r="J71">
        <v>2.1959058900000001</v>
      </c>
      <c r="K71">
        <v>1058</v>
      </c>
      <c r="L71">
        <v>966</v>
      </c>
      <c r="M71" s="2">
        <v>5</v>
      </c>
      <c r="N71">
        <v>1.2064107390000001</v>
      </c>
      <c r="O71">
        <v>0.97010662999999997</v>
      </c>
      <c r="P71" t="b">
        <v>0</v>
      </c>
      <c r="Q71">
        <v>0.69133278799999998</v>
      </c>
      <c r="R71" s="2">
        <v>1</v>
      </c>
      <c r="S71" s="2" t="str">
        <f t="shared" si="5"/>
        <v>Mar</v>
      </c>
      <c r="T71">
        <f t="shared" si="6"/>
        <v>2025</v>
      </c>
      <c r="U71" s="2" t="str">
        <f t="shared" si="7"/>
        <v>Q1</v>
      </c>
      <c r="V71" t="str">
        <f t="shared" si="8"/>
        <v>Completed</v>
      </c>
    </row>
    <row r="72" spans="1:22" x14ac:dyDescent="0.3">
      <c r="A72" s="2">
        <v>71</v>
      </c>
      <c r="B72" s="1">
        <v>45728</v>
      </c>
      <c r="C72" s="2" t="s">
        <v>17</v>
      </c>
      <c r="D72">
        <v>2983</v>
      </c>
      <c r="E72">
        <v>3747</v>
      </c>
      <c r="F72">
        <v>3140</v>
      </c>
      <c r="G72">
        <v>3005</v>
      </c>
      <c r="H72">
        <v>3370</v>
      </c>
      <c r="I72">
        <v>0.25905689199999998</v>
      </c>
      <c r="J72">
        <v>2.8894201179999999</v>
      </c>
      <c r="K72">
        <v>4171</v>
      </c>
      <c r="L72">
        <v>1314</v>
      </c>
      <c r="M72" s="2">
        <v>8</v>
      </c>
      <c r="N72">
        <v>1.7100189690000001</v>
      </c>
      <c r="O72">
        <v>0.98661869800000002</v>
      </c>
      <c r="P72" t="b">
        <v>0</v>
      </c>
      <c r="Q72">
        <v>0.588103025</v>
      </c>
      <c r="R72" s="2">
        <v>1</v>
      </c>
      <c r="S72" s="2" t="str">
        <f t="shared" si="5"/>
        <v>Mar</v>
      </c>
      <c r="T72">
        <f t="shared" si="6"/>
        <v>2025</v>
      </c>
      <c r="U72" s="2" t="str">
        <f t="shared" si="7"/>
        <v>Q1</v>
      </c>
      <c r="V72" t="str">
        <f t="shared" si="8"/>
        <v>Completed</v>
      </c>
    </row>
    <row r="73" spans="1:22" x14ac:dyDescent="0.3">
      <c r="A73" s="2">
        <v>72</v>
      </c>
      <c r="B73" s="1">
        <v>45729</v>
      </c>
      <c r="C73" s="2" t="s">
        <v>18</v>
      </c>
      <c r="D73">
        <v>2101</v>
      </c>
      <c r="E73">
        <v>1216</v>
      </c>
      <c r="F73">
        <v>1500</v>
      </c>
      <c r="G73">
        <v>1169</v>
      </c>
      <c r="H73">
        <v>2448</v>
      </c>
      <c r="I73">
        <v>0.78276891500000001</v>
      </c>
      <c r="J73">
        <v>0.63002220900000006</v>
      </c>
      <c r="K73">
        <v>4167</v>
      </c>
      <c r="L73">
        <v>1981</v>
      </c>
      <c r="M73" s="2">
        <v>2</v>
      </c>
      <c r="N73">
        <v>0.96164969300000003</v>
      </c>
      <c r="O73">
        <v>0.85550812899999995</v>
      </c>
      <c r="P73" t="b">
        <v>0</v>
      </c>
      <c r="Q73">
        <v>0.40780866700000001</v>
      </c>
      <c r="R73" s="2">
        <v>1</v>
      </c>
      <c r="S73" s="2" t="str">
        <f t="shared" si="5"/>
        <v>Mar</v>
      </c>
      <c r="T73">
        <f t="shared" si="6"/>
        <v>2025</v>
      </c>
      <c r="U73" s="2" t="str">
        <f t="shared" si="7"/>
        <v>Q1</v>
      </c>
      <c r="V73" t="str">
        <f t="shared" si="8"/>
        <v>Completed</v>
      </c>
    </row>
    <row r="74" spans="1:22" x14ac:dyDescent="0.3">
      <c r="A74" s="2">
        <v>73</v>
      </c>
      <c r="B74" s="1">
        <v>45730</v>
      </c>
      <c r="C74" s="2" t="s">
        <v>5</v>
      </c>
      <c r="D74">
        <v>1672</v>
      </c>
      <c r="E74">
        <v>3988</v>
      </c>
      <c r="F74">
        <v>237</v>
      </c>
      <c r="G74">
        <v>1658</v>
      </c>
      <c r="H74">
        <v>2165</v>
      </c>
      <c r="I74">
        <v>0.72929696099999997</v>
      </c>
      <c r="J74">
        <v>1.3271387100000001</v>
      </c>
      <c r="K74">
        <v>215</v>
      </c>
      <c r="L74">
        <v>1660</v>
      </c>
      <c r="M74" s="2">
        <v>7</v>
      </c>
      <c r="N74">
        <v>1.1952111299999999</v>
      </c>
      <c r="O74">
        <v>0.868685233</v>
      </c>
      <c r="P74" t="b">
        <v>0</v>
      </c>
      <c r="Q74">
        <v>0.32011447300000001</v>
      </c>
      <c r="R74" s="2">
        <v>1</v>
      </c>
      <c r="S74" s="2" t="str">
        <f t="shared" si="5"/>
        <v>Mar</v>
      </c>
      <c r="T74">
        <f t="shared" si="6"/>
        <v>2025</v>
      </c>
      <c r="U74" s="2" t="str">
        <f t="shared" si="7"/>
        <v>Q1</v>
      </c>
      <c r="V74" t="str">
        <f t="shared" si="8"/>
        <v>Completed</v>
      </c>
    </row>
    <row r="75" spans="1:22" x14ac:dyDescent="0.3">
      <c r="A75" s="2">
        <v>74</v>
      </c>
      <c r="B75" s="1">
        <v>45731</v>
      </c>
      <c r="C75" s="2" t="s">
        <v>5</v>
      </c>
      <c r="D75">
        <v>1292</v>
      </c>
      <c r="E75">
        <v>884</v>
      </c>
      <c r="F75">
        <v>3759</v>
      </c>
      <c r="G75">
        <v>2785</v>
      </c>
      <c r="H75">
        <v>648</v>
      </c>
      <c r="I75">
        <v>0.51224952899999998</v>
      </c>
      <c r="J75">
        <v>1.23067769</v>
      </c>
      <c r="K75">
        <v>3036</v>
      </c>
      <c r="L75">
        <v>538</v>
      </c>
      <c r="M75" s="2">
        <v>2</v>
      </c>
      <c r="N75">
        <v>0.61806653</v>
      </c>
      <c r="O75">
        <v>0.93114803300000004</v>
      </c>
      <c r="P75" t="b">
        <v>0</v>
      </c>
      <c r="Q75">
        <v>0.24243663100000001</v>
      </c>
      <c r="R75" s="2">
        <v>1</v>
      </c>
      <c r="S75" s="2" t="str">
        <f t="shared" si="5"/>
        <v>Mar</v>
      </c>
      <c r="T75">
        <f t="shared" si="6"/>
        <v>2025</v>
      </c>
      <c r="U75" s="2" t="str">
        <f t="shared" si="7"/>
        <v>Q1</v>
      </c>
      <c r="V75" t="str">
        <f t="shared" si="8"/>
        <v>Completed</v>
      </c>
    </row>
    <row r="76" spans="1:22" x14ac:dyDescent="0.3">
      <c r="A76" s="2">
        <v>75</v>
      </c>
      <c r="B76" s="1">
        <v>45732</v>
      </c>
      <c r="C76" s="2" t="s">
        <v>16</v>
      </c>
      <c r="D76">
        <v>2358</v>
      </c>
      <c r="E76">
        <v>3775</v>
      </c>
      <c r="F76">
        <v>1666</v>
      </c>
      <c r="G76">
        <v>2650</v>
      </c>
      <c r="H76">
        <v>880</v>
      </c>
      <c r="I76">
        <v>0.62292119700000004</v>
      </c>
      <c r="J76">
        <v>0.88072814399999999</v>
      </c>
      <c r="K76">
        <v>1818</v>
      </c>
      <c r="L76">
        <v>2490</v>
      </c>
      <c r="M76" s="2">
        <v>1</v>
      </c>
      <c r="N76">
        <v>1.0285316920000001</v>
      </c>
      <c r="O76">
        <v>0.936104084</v>
      </c>
      <c r="P76" t="b">
        <v>1</v>
      </c>
      <c r="Q76">
        <v>0.460343418</v>
      </c>
      <c r="R76" s="2">
        <v>1</v>
      </c>
      <c r="S76" s="2" t="str">
        <f t="shared" si="5"/>
        <v>Mar</v>
      </c>
      <c r="T76">
        <f t="shared" si="6"/>
        <v>2025</v>
      </c>
      <c r="U76" s="2" t="str">
        <f t="shared" si="7"/>
        <v>Q1</v>
      </c>
      <c r="V76" t="str">
        <f t="shared" si="8"/>
        <v>Completed</v>
      </c>
    </row>
    <row r="77" spans="1:22" x14ac:dyDescent="0.3">
      <c r="A77" s="2">
        <v>76</v>
      </c>
      <c r="B77" s="1">
        <v>45733</v>
      </c>
      <c r="C77" s="2" t="s">
        <v>18</v>
      </c>
      <c r="D77">
        <v>157</v>
      </c>
      <c r="E77">
        <v>1956</v>
      </c>
      <c r="F77">
        <v>1164</v>
      </c>
      <c r="G77">
        <v>2890</v>
      </c>
      <c r="H77">
        <v>755</v>
      </c>
      <c r="I77">
        <v>0.50794940099999997</v>
      </c>
      <c r="J77">
        <v>2.5495379800000002</v>
      </c>
      <c r="K77">
        <v>4163</v>
      </c>
      <c r="L77">
        <v>2652</v>
      </c>
      <c r="M77" s="2">
        <v>3</v>
      </c>
      <c r="N77">
        <v>0.66926541699999997</v>
      </c>
      <c r="O77">
        <v>0.83386950199999998</v>
      </c>
      <c r="P77" t="b">
        <v>0</v>
      </c>
      <c r="Q77">
        <v>1.0425184000000001E-2</v>
      </c>
      <c r="R77" s="2">
        <v>1</v>
      </c>
      <c r="S77" s="2" t="str">
        <f t="shared" si="5"/>
        <v>Mar</v>
      </c>
      <c r="T77">
        <f t="shared" si="6"/>
        <v>2025</v>
      </c>
      <c r="U77" s="2" t="str">
        <f t="shared" si="7"/>
        <v>Q1</v>
      </c>
      <c r="V77" t="str">
        <f t="shared" si="8"/>
        <v>Completed</v>
      </c>
    </row>
    <row r="78" spans="1:22" x14ac:dyDescent="0.3">
      <c r="A78" s="2">
        <v>77</v>
      </c>
      <c r="B78" s="1">
        <v>45734</v>
      </c>
      <c r="C78" s="2" t="s">
        <v>18</v>
      </c>
      <c r="D78">
        <v>2463</v>
      </c>
      <c r="E78">
        <v>1208</v>
      </c>
      <c r="F78">
        <v>461</v>
      </c>
      <c r="G78">
        <v>4228</v>
      </c>
      <c r="H78">
        <v>1192</v>
      </c>
      <c r="I78">
        <v>0.323031505</v>
      </c>
      <c r="J78">
        <v>2.4256239079999999</v>
      </c>
      <c r="K78">
        <v>454</v>
      </c>
      <c r="L78">
        <v>3598</v>
      </c>
      <c r="M78" s="2">
        <v>2</v>
      </c>
      <c r="N78">
        <v>1.7347155460000001</v>
      </c>
      <c r="O78">
        <v>0.86423627199999997</v>
      </c>
      <c r="P78" t="b">
        <v>0</v>
      </c>
      <c r="Q78">
        <v>0.48180703200000002</v>
      </c>
      <c r="R78" s="2">
        <v>1</v>
      </c>
      <c r="S78" s="2" t="str">
        <f t="shared" si="5"/>
        <v>Mar</v>
      </c>
      <c r="T78">
        <f t="shared" si="6"/>
        <v>2025</v>
      </c>
      <c r="U78" s="2" t="str">
        <f t="shared" si="7"/>
        <v>Q1</v>
      </c>
      <c r="V78" t="str">
        <f t="shared" si="8"/>
        <v>Completed</v>
      </c>
    </row>
    <row r="79" spans="1:22" x14ac:dyDescent="0.3">
      <c r="A79" s="2">
        <v>78</v>
      </c>
      <c r="B79" s="1">
        <v>45735</v>
      </c>
      <c r="C79" s="2" t="s">
        <v>16</v>
      </c>
      <c r="D79">
        <v>4917</v>
      </c>
      <c r="E79">
        <v>2063</v>
      </c>
      <c r="F79">
        <v>1852</v>
      </c>
      <c r="G79">
        <v>399</v>
      </c>
      <c r="H79">
        <v>2549</v>
      </c>
      <c r="I79">
        <v>0.49882471900000003</v>
      </c>
      <c r="J79">
        <v>1.3624023709999999</v>
      </c>
      <c r="K79">
        <v>357</v>
      </c>
      <c r="L79">
        <v>1562</v>
      </c>
      <c r="M79" s="2">
        <v>4</v>
      </c>
      <c r="N79">
        <v>0.63902759499999995</v>
      </c>
      <c r="O79">
        <v>0.83358768400000005</v>
      </c>
      <c r="P79" t="b">
        <v>1</v>
      </c>
      <c r="Q79">
        <v>0.98344235499999999</v>
      </c>
      <c r="R79" s="2">
        <v>1</v>
      </c>
      <c r="S79" s="2" t="str">
        <f t="shared" si="5"/>
        <v>Mar</v>
      </c>
      <c r="T79">
        <f t="shared" si="6"/>
        <v>2025</v>
      </c>
      <c r="U79" s="2" t="str">
        <f t="shared" si="7"/>
        <v>Q1</v>
      </c>
      <c r="V79" t="str">
        <f t="shared" si="8"/>
        <v>Completed</v>
      </c>
    </row>
    <row r="80" spans="1:22" x14ac:dyDescent="0.3">
      <c r="A80" s="2">
        <v>79</v>
      </c>
      <c r="B80" s="1">
        <v>45736</v>
      </c>
      <c r="C80" s="2" t="s">
        <v>17</v>
      </c>
      <c r="D80">
        <v>1390</v>
      </c>
      <c r="E80">
        <v>1884</v>
      </c>
      <c r="F80">
        <v>1026</v>
      </c>
      <c r="G80">
        <v>4725</v>
      </c>
      <c r="H80">
        <v>2266</v>
      </c>
      <c r="I80">
        <v>0.42911979099999997</v>
      </c>
      <c r="J80">
        <v>1.7489767350000001</v>
      </c>
      <c r="K80">
        <v>136</v>
      </c>
      <c r="L80">
        <v>3201</v>
      </c>
      <c r="M80" s="2">
        <v>8</v>
      </c>
      <c r="N80">
        <v>1.8685573719999999</v>
      </c>
      <c r="O80">
        <v>0.97036264999999999</v>
      </c>
      <c r="P80" t="b">
        <v>0</v>
      </c>
      <c r="Q80">
        <v>0.262469338</v>
      </c>
      <c r="R80" s="2">
        <v>1</v>
      </c>
      <c r="S80" s="2" t="str">
        <f t="shared" si="5"/>
        <v>Mar</v>
      </c>
      <c r="T80">
        <f t="shared" si="6"/>
        <v>2025</v>
      </c>
      <c r="U80" s="2" t="str">
        <f t="shared" si="7"/>
        <v>Q1</v>
      </c>
      <c r="V80" t="str">
        <f t="shared" si="8"/>
        <v>Completed</v>
      </c>
    </row>
    <row r="81" spans="1:22" x14ac:dyDescent="0.3">
      <c r="A81" s="2">
        <v>80</v>
      </c>
      <c r="B81" s="1">
        <v>45737</v>
      </c>
      <c r="C81" s="2" t="s">
        <v>16</v>
      </c>
      <c r="D81">
        <v>2857</v>
      </c>
      <c r="E81">
        <v>1552</v>
      </c>
      <c r="F81">
        <v>2432</v>
      </c>
      <c r="G81">
        <v>4399</v>
      </c>
      <c r="H81">
        <v>1432</v>
      </c>
      <c r="I81">
        <v>0.37875914900000002</v>
      </c>
      <c r="J81">
        <v>2.2173846880000001</v>
      </c>
      <c r="K81">
        <v>3740</v>
      </c>
      <c r="L81">
        <v>1551</v>
      </c>
      <c r="M81" s="2">
        <v>6</v>
      </c>
      <c r="N81">
        <v>0.95512614200000001</v>
      </c>
      <c r="O81">
        <v>0.93636817800000005</v>
      </c>
      <c r="P81" t="b">
        <v>0</v>
      </c>
      <c r="Q81">
        <v>0.56234668799999998</v>
      </c>
      <c r="R81" s="2">
        <v>1</v>
      </c>
      <c r="S81" s="2" t="str">
        <f t="shared" si="5"/>
        <v>Mar</v>
      </c>
      <c r="T81">
        <f t="shared" si="6"/>
        <v>2025</v>
      </c>
      <c r="U81" s="2" t="str">
        <f t="shared" si="7"/>
        <v>Q1</v>
      </c>
      <c r="V81" t="str">
        <f t="shared" si="8"/>
        <v>Completed</v>
      </c>
    </row>
    <row r="82" spans="1:22" x14ac:dyDescent="0.3">
      <c r="A82" s="2">
        <v>81</v>
      </c>
      <c r="B82" s="1">
        <v>45738</v>
      </c>
      <c r="C82" s="2" t="s">
        <v>16</v>
      </c>
      <c r="D82">
        <v>1468</v>
      </c>
      <c r="E82">
        <v>3237</v>
      </c>
      <c r="F82">
        <v>3275</v>
      </c>
      <c r="G82">
        <v>866</v>
      </c>
      <c r="H82">
        <v>3888</v>
      </c>
      <c r="I82">
        <v>0.65087324099999999</v>
      </c>
      <c r="J82">
        <v>0.77146349199999997</v>
      </c>
      <c r="K82">
        <v>3694</v>
      </c>
      <c r="L82">
        <v>1850</v>
      </c>
      <c r="M82" s="2">
        <v>3</v>
      </c>
      <c r="N82">
        <v>1.6184688410000001</v>
      </c>
      <c r="O82">
        <v>0.851640124</v>
      </c>
      <c r="P82" t="b">
        <v>0</v>
      </c>
      <c r="Q82">
        <v>0.27841373699999999</v>
      </c>
      <c r="R82" s="2">
        <v>0</v>
      </c>
      <c r="S82" s="2" t="str">
        <f t="shared" si="5"/>
        <v>Mar</v>
      </c>
      <c r="T82">
        <f t="shared" si="6"/>
        <v>2025</v>
      </c>
      <c r="U82" s="2" t="str">
        <f t="shared" si="7"/>
        <v>Q1</v>
      </c>
      <c r="V82" t="str">
        <f t="shared" si="8"/>
        <v>Completed</v>
      </c>
    </row>
    <row r="83" spans="1:22" x14ac:dyDescent="0.3">
      <c r="A83" s="2">
        <v>82</v>
      </c>
      <c r="B83" s="1">
        <v>45739</v>
      </c>
      <c r="C83" s="2" t="s">
        <v>16</v>
      </c>
      <c r="D83">
        <v>3313</v>
      </c>
      <c r="E83">
        <v>1014</v>
      </c>
      <c r="F83">
        <v>648</v>
      </c>
      <c r="G83">
        <v>3617</v>
      </c>
      <c r="H83">
        <v>900</v>
      </c>
      <c r="I83">
        <v>0.765181942</v>
      </c>
      <c r="J83">
        <v>0.54083847900000004</v>
      </c>
      <c r="K83">
        <v>3874</v>
      </c>
      <c r="L83">
        <v>1222</v>
      </c>
      <c r="M83" s="2">
        <v>6</v>
      </c>
      <c r="N83">
        <v>1.6937927159999999</v>
      </c>
      <c r="O83">
        <v>0.88355072300000004</v>
      </c>
      <c r="P83" t="b">
        <v>0</v>
      </c>
      <c r="Q83">
        <v>0.65556009800000004</v>
      </c>
      <c r="R83" s="2">
        <v>1</v>
      </c>
      <c r="S83" s="2" t="str">
        <f t="shared" si="5"/>
        <v>Mar</v>
      </c>
      <c r="T83">
        <f t="shared" si="6"/>
        <v>2025</v>
      </c>
      <c r="U83" s="2" t="str">
        <f t="shared" si="7"/>
        <v>Q1</v>
      </c>
      <c r="V83" t="str">
        <f t="shared" si="8"/>
        <v>Failed</v>
      </c>
    </row>
    <row r="84" spans="1:22" x14ac:dyDescent="0.3">
      <c r="A84" s="2">
        <v>83</v>
      </c>
      <c r="B84" s="1">
        <v>45740</v>
      </c>
      <c r="C84" s="2" t="s">
        <v>16</v>
      </c>
      <c r="D84">
        <v>755</v>
      </c>
      <c r="E84">
        <v>2123</v>
      </c>
      <c r="F84">
        <v>3727</v>
      </c>
      <c r="G84">
        <v>2370</v>
      </c>
      <c r="H84">
        <v>2058</v>
      </c>
      <c r="I84">
        <v>0.70190265399999996</v>
      </c>
      <c r="J84">
        <v>0.54932712500000003</v>
      </c>
      <c r="K84">
        <v>1736</v>
      </c>
      <c r="L84">
        <v>1655</v>
      </c>
      <c r="M84" s="2">
        <v>4</v>
      </c>
      <c r="N84">
        <v>0.94081682700000002</v>
      </c>
      <c r="O84">
        <v>0.90712166299999997</v>
      </c>
      <c r="P84" t="b">
        <v>0</v>
      </c>
      <c r="Q84">
        <v>0.13266557600000001</v>
      </c>
      <c r="R84" s="2">
        <v>1</v>
      </c>
      <c r="S84" s="2" t="str">
        <f t="shared" si="5"/>
        <v>Mar</v>
      </c>
      <c r="T84">
        <f t="shared" si="6"/>
        <v>2025</v>
      </c>
      <c r="U84" s="2" t="str">
        <f t="shared" si="7"/>
        <v>Q1</v>
      </c>
      <c r="V84" t="str">
        <f t="shared" si="8"/>
        <v>Completed</v>
      </c>
    </row>
    <row r="85" spans="1:22" x14ac:dyDescent="0.3">
      <c r="A85" s="2">
        <v>84</v>
      </c>
      <c r="B85" s="1">
        <v>45741</v>
      </c>
      <c r="C85" s="2" t="s">
        <v>18</v>
      </c>
      <c r="D85">
        <v>1589</v>
      </c>
      <c r="E85">
        <v>1847</v>
      </c>
      <c r="F85">
        <v>485</v>
      </c>
      <c r="G85">
        <v>3529</v>
      </c>
      <c r="H85">
        <v>2580</v>
      </c>
      <c r="I85">
        <v>0.415514457</v>
      </c>
      <c r="J85">
        <v>1.5567061689999999</v>
      </c>
      <c r="K85">
        <v>1533</v>
      </c>
      <c r="L85">
        <v>2619</v>
      </c>
      <c r="M85" s="2">
        <v>5</v>
      </c>
      <c r="N85">
        <v>1.8705968150000001</v>
      </c>
      <c r="O85">
        <v>0.85949531099999998</v>
      </c>
      <c r="P85" t="b">
        <v>0</v>
      </c>
      <c r="Q85">
        <v>0.303147997</v>
      </c>
      <c r="R85" s="2">
        <v>1</v>
      </c>
      <c r="S85" s="2" t="str">
        <f t="shared" si="5"/>
        <v>Mar</v>
      </c>
      <c r="T85">
        <f t="shared" si="6"/>
        <v>2025</v>
      </c>
      <c r="U85" s="2" t="str">
        <f t="shared" si="7"/>
        <v>Q1</v>
      </c>
      <c r="V85" t="str">
        <f t="shared" si="8"/>
        <v>Completed</v>
      </c>
    </row>
    <row r="86" spans="1:22" x14ac:dyDescent="0.3">
      <c r="A86" s="2">
        <v>85</v>
      </c>
      <c r="B86" s="1">
        <v>45742</v>
      </c>
      <c r="C86" s="2" t="s">
        <v>16</v>
      </c>
      <c r="D86">
        <v>4509</v>
      </c>
      <c r="E86">
        <v>3443</v>
      </c>
      <c r="F86">
        <v>969</v>
      </c>
      <c r="G86">
        <v>2261</v>
      </c>
      <c r="H86">
        <v>1724</v>
      </c>
      <c r="I86">
        <v>0.47524360199999999</v>
      </c>
      <c r="J86">
        <v>2.9606460619999999</v>
      </c>
      <c r="K86">
        <v>649</v>
      </c>
      <c r="L86">
        <v>264</v>
      </c>
      <c r="M86" s="2">
        <v>8</v>
      </c>
      <c r="N86">
        <v>1.346726836</v>
      </c>
      <c r="O86">
        <v>0.97373949199999998</v>
      </c>
      <c r="P86" t="b">
        <v>0</v>
      </c>
      <c r="Q86">
        <v>0.90004088299999996</v>
      </c>
      <c r="R86" s="2">
        <v>1</v>
      </c>
      <c r="S86" s="2" t="str">
        <f t="shared" si="5"/>
        <v>Mar</v>
      </c>
      <c r="T86">
        <f t="shared" si="6"/>
        <v>2025</v>
      </c>
      <c r="U86" s="2" t="str">
        <f t="shared" si="7"/>
        <v>Q1</v>
      </c>
      <c r="V86" t="str">
        <f t="shared" si="8"/>
        <v>Completed</v>
      </c>
    </row>
    <row r="87" spans="1:22" x14ac:dyDescent="0.3">
      <c r="A87" s="2">
        <v>86</v>
      </c>
      <c r="B87" s="1">
        <v>45743</v>
      </c>
      <c r="C87" s="2" t="s">
        <v>16</v>
      </c>
      <c r="D87">
        <v>1066</v>
      </c>
      <c r="E87">
        <v>4020</v>
      </c>
      <c r="F87">
        <v>420</v>
      </c>
      <c r="G87">
        <v>2430</v>
      </c>
      <c r="H87">
        <v>310</v>
      </c>
      <c r="I87">
        <v>0.39572795199999999</v>
      </c>
      <c r="J87">
        <v>2.665228157</v>
      </c>
      <c r="K87">
        <v>1370</v>
      </c>
      <c r="L87">
        <v>2174</v>
      </c>
      <c r="M87" s="2">
        <v>3</v>
      </c>
      <c r="N87">
        <v>1.506525967</v>
      </c>
      <c r="O87">
        <v>0.86016052799999998</v>
      </c>
      <c r="P87" t="b">
        <v>0</v>
      </c>
      <c r="Q87">
        <v>0.19623875700000001</v>
      </c>
      <c r="R87" s="2">
        <v>1</v>
      </c>
      <c r="S87" s="2" t="str">
        <f t="shared" si="5"/>
        <v>Mar</v>
      </c>
      <c r="T87">
        <f t="shared" si="6"/>
        <v>2025</v>
      </c>
      <c r="U87" s="2" t="str">
        <f t="shared" si="7"/>
        <v>Q1</v>
      </c>
      <c r="V87" t="str">
        <f t="shared" si="8"/>
        <v>Completed</v>
      </c>
    </row>
    <row r="88" spans="1:22" x14ac:dyDescent="0.3">
      <c r="A88" s="2">
        <v>87</v>
      </c>
      <c r="B88" s="1">
        <v>45744</v>
      </c>
      <c r="C88" s="2" t="s">
        <v>17</v>
      </c>
      <c r="D88">
        <v>1322</v>
      </c>
      <c r="E88">
        <v>1950</v>
      </c>
      <c r="F88">
        <v>1021</v>
      </c>
      <c r="G88">
        <v>4304</v>
      </c>
      <c r="H88">
        <v>3347</v>
      </c>
      <c r="I88">
        <v>0.35002087599999998</v>
      </c>
      <c r="J88">
        <v>0.51372012300000003</v>
      </c>
      <c r="K88">
        <v>1731</v>
      </c>
      <c r="L88">
        <v>757</v>
      </c>
      <c r="M88" s="2">
        <v>5</v>
      </c>
      <c r="N88">
        <v>1.442088359</v>
      </c>
      <c r="O88">
        <v>0.82837870000000002</v>
      </c>
      <c r="P88" t="b">
        <v>0</v>
      </c>
      <c r="Q88">
        <v>0.24856909199999999</v>
      </c>
      <c r="R88" s="2">
        <v>1</v>
      </c>
      <c r="S88" s="2" t="str">
        <f t="shared" si="5"/>
        <v>Mar</v>
      </c>
      <c r="T88">
        <f t="shared" si="6"/>
        <v>2025</v>
      </c>
      <c r="U88" s="2" t="str">
        <f t="shared" si="7"/>
        <v>Q1</v>
      </c>
      <c r="V88" t="str">
        <f t="shared" si="8"/>
        <v>Completed</v>
      </c>
    </row>
    <row r="89" spans="1:22" x14ac:dyDescent="0.3">
      <c r="A89" s="2">
        <v>88</v>
      </c>
      <c r="B89" s="1">
        <v>45745</v>
      </c>
      <c r="C89" s="2" t="s">
        <v>16</v>
      </c>
      <c r="D89">
        <v>1165</v>
      </c>
      <c r="E89">
        <v>3764</v>
      </c>
      <c r="F89">
        <v>3051</v>
      </c>
      <c r="G89">
        <v>2581</v>
      </c>
      <c r="H89">
        <v>2607</v>
      </c>
      <c r="I89">
        <v>0.63747795600000001</v>
      </c>
      <c r="J89">
        <v>2.2829254790000002</v>
      </c>
      <c r="K89">
        <v>3135</v>
      </c>
      <c r="L89">
        <v>671</v>
      </c>
      <c r="M89" s="2">
        <v>2</v>
      </c>
      <c r="N89">
        <v>1.6048380799999999</v>
      </c>
      <c r="O89">
        <v>0.89285824300000005</v>
      </c>
      <c r="P89" t="b">
        <v>0</v>
      </c>
      <c r="Q89">
        <v>0.21647587900000001</v>
      </c>
      <c r="R89" s="2">
        <v>0</v>
      </c>
      <c r="S89" s="2" t="str">
        <f t="shared" si="5"/>
        <v>Mar</v>
      </c>
      <c r="T89">
        <f t="shared" si="6"/>
        <v>2025</v>
      </c>
      <c r="U89" s="2" t="str">
        <f t="shared" si="7"/>
        <v>Q1</v>
      </c>
      <c r="V89" t="str">
        <f t="shared" si="8"/>
        <v>Completed</v>
      </c>
    </row>
    <row r="90" spans="1:22" x14ac:dyDescent="0.3">
      <c r="A90" s="2">
        <v>89</v>
      </c>
      <c r="B90" s="1">
        <v>45746</v>
      </c>
      <c r="C90" s="2" t="s">
        <v>5</v>
      </c>
      <c r="D90">
        <v>720</v>
      </c>
      <c r="E90">
        <v>811</v>
      </c>
      <c r="F90">
        <v>3919</v>
      </c>
      <c r="G90">
        <v>4158</v>
      </c>
      <c r="H90">
        <v>3465</v>
      </c>
      <c r="I90">
        <v>0.33735714300000003</v>
      </c>
      <c r="J90">
        <v>2.356388897</v>
      </c>
      <c r="K90">
        <v>4820</v>
      </c>
      <c r="L90">
        <v>1195</v>
      </c>
      <c r="M90" s="2">
        <v>6</v>
      </c>
      <c r="N90">
        <v>0.71184607799999999</v>
      </c>
      <c r="O90">
        <v>0.83976553600000003</v>
      </c>
      <c r="P90" t="b">
        <v>0</v>
      </c>
      <c r="Q90">
        <v>0.12551103799999999</v>
      </c>
      <c r="R90" s="2">
        <v>1</v>
      </c>
      <c r="S90" s="2" t="str">
        <f t="shared" si="5"/>
        <v>Mar</v>
      </c>
      <c r="T90">
        <f t="shared" si="6"/>
        <v>2025</v>
      </c>
      <c r="U90" s="2" t="str">
        <f t="shared" si="7"/>
        <v>Q1</v>
      </c>
      <c r="V90" t="str">
        <f t="shared" si="8"/>
        <v>Failed</v>
      </c>
    </row>
    <row r="91" spans="1:22" x14ac:dyDescent="0.3">
      <c r="A91" s="2">
        <v>90</v>
      </c>
      <c r="B91" s="1">
        <v>45747</v>
      </c>
      <c r="C91" s="2" t="s">
        <v>18</v>
      </c>
      <c r="D91">
        <v>2457</v>
      </c>
      <c r="E91">
        <v>2138</v>
      </c>
      <c r="F91">
        <v>1314</v>
      </c>
      <c r="G91">
        <v>2488</v>
      </c>
      <c r="H91">
        <v>1964</v>
      </c>
      <c r="I91">
        <v>0.51604573899999995</v>
      </c>
      <c r="J91">
        <v>1.2263914760000001</v>
      </c>
      <c r="K91">
        <v>741</v>
      </c>
      <c r="L91">
        <v>384</v>
      </c>
      <c r="M91" s="2">
        <v>5</v>
      </c>
      <c r="N91">
        <v>0.85816661500000002</v>
      </c>
      <c r="O91">
        <v>0.90769096000000005</v>
      </c>
      <c r="P91" t="b">
        <v>0</v>
      </c>
      <c r="Q91">
        <v>0.48058054</v>
      </c>
      <c r="R91" s="2">
        <v>1</v>
      </c>
      <c r="S91" s="2" t="str">
        <f t="shared" si="5"/>
        <v>Mar</v>
      </c>
      <c r="T91">
        <f t="shared" si="6"/>
        <v>2025</v>
      </c>
      <c r="U91" s="2" t="str">
        <f t="shared" si="7"/>
        <v>Q1</v>
      </c>
      <c r="V91" t="str">
        <f t="shared" si="8"/>
        <v>Completed</v>
      </c>
    </row>
    <row r="92" spans="1:22" x14ac:dyDescent="0.3">
      <c r="A92" s="2">
        <v>91</v>
      </c>
      <c r="B92" s="1">
        <v>45748</v>
      </c>
      <c r="C92" s="2" t="s">
        <v>18</v>
      </c>
      <c r="D92">
        <v>3664</v>
      </c>
      <c r="E92">
        <v>1791</v>
      </c>
      <c r="F92">
        <v>781</v>
      </c>
      <c r="G92">
        <v>4677</v>
      </c>
      <c r="H92">
        <v>2630</v>
      </c>
      <c r="I92">
        <v>0.69075649100000003</v>
      </c>
      <c r="J92">
        <v>0.88238246799999998</v>
      </c>
      <c r="K92">
        <v>4296</v>
      </c>
      <c r="L92">
        <v>1408</v>
      </c>
      <c r="M92" s="2">
        <v>4</v>
      </c>
      <c r="N92">
        <v>1.7995976890000001</v>
      </c>
      <c r="O92">
        <v>0.99471169699999995</v>
      </c>
      <c r="P92" t="b">
        <v>0</v>
      </c>
      <c r="Q92">
        <v>0.72730989400000001</v>
      </c>
      <c r="R92" s="2">
        <v>1</v>
      </c>
      <c r="S92" s="2" t="str">
        <f t="shared" si="5"/>
        <v>Apr</v>
      </c>
      <c r="T92">
        <f t="shared" si="6"/>
        <v>2025</v>
      </c>
      <c r="U92" s="2" t="str">
        <f t="shared" si="7"/>
        <v>Q2</v>
      </c>
      <c r="V92" t="str">
        <f t="shared" si="8"/>
        <v>Completed</v>
      </c>
    </row>
    <row r="93" spans="1:22" x14ac:dyDescent="0.3">
      <c r="A93" s="2">
        <v>92</v>
      </c>
      <c r="B93" s="1">
        <v>45749</v>
      </c>
      <c r="C93" s="2" t="s">
        <v>16</v>
      </c>
      <c r="D93">
        <v>3294</v>
      </c>
      <c r="E93">
        <v>4385</v>
      </c>
      <c r="F93">
        <v>2875</v>
      </c>
      <c r="G93">
        <v>2448</v>
      </c>
      <c r="H93">
        <v>912</v>
      </c>
      <c r="I93">
        <v>0.64722676199999996</v>
      </c>
      <c r="J93">
        <v>2.2278035009999999</v>
      </c>
      <c r="K93">
        <v>999</v>
      </c>
      <c r="L93">
        <v>1953</v>
      </c>
      <c r="M93" s="2">
        <v>9</v>
      </c>
      <c r="N93">
        <v>0.64554098900000001</v>
      </c>
      <c r="O93">
        <v>0.94044679799999997</v>
      </c>
      <c r="P93" t="b">
        <v>0</v>
      </c>
      <c r="Q93">
        <v>0.65167620599999998</v>
      </c>
      <c r="R93" s="2">
        <v>1</v>
      </c>
      <c r="S93" s="2" t="str">
        <f t="shared" si="5"/>
        <v>Apr</v>
      </c>
      <c r="T93">
        <f t="shared" si="6"/>
        <v>2025</v>
      </c>
      <c r="U93" s="2" t="str">
        <f t="shared" si="7"/>
        <v>Q2</v>
      </c>
      <c r="V93" t="str">
        <f t="shared" si="8"/>
        <v>Completed</v>
      </c>
    </row>
    <row r="94" spans="1:22" x14ac:dyDescent="0.3">
      <c r="A94" s="2">
        <v>93</v>
      </c>
      <c r="B94" s="1">
        <v>45750</v>
      </c>
      <c r="C94" s="2" t="s">
        <v>5</v>
      </c>
      <c r="D94">
        <v>841</v>
      </c>
      <c r="E94">
        <v>2286</v>
      </c>
      <c r="F94">
        <v>1057</v>
      </c>
      <c r="G94">
        <v>4799</v>
      </c>
      <c r="H94">
        <v>866</v>
      </c>
      <c r="I94">
        <v>0.62174735599999997</v>
      </c>
      <c r="J94">
        <v>2.2057193860000002</v>
      </c>
      <c r="K94">
        <v>3955</v>
      </c>
      <c r="L94">
        <v>2943</v>
      </c>
      <c r="M94" s="2">
        <v>1</v>
      </c>
      <c r="N94">
        <v>0.87601787200000003</v>
      </c>
      <c r="O94">
        <v>0.91674574799999997</v>
      </c>
      <c r="P94" t="b">
        <v>0</v>
      </c>
      <c r="Q94">
        <v>0.150245298</v>
      </c>
      <c r="R94" s="2">
        <v>1</v>
      </c>
      <c r="S94" s="2" t="str">
        <f t="shared" si="5"/>
        <v>Apr</v>
      </c>
      <c r="T94">
        <f t="shared" si="6"/>
        <v>2025</v>
      </c>
      <c r="U94" s="2" t="str">
        <f t="shared" si="7"/>
        <v>Q2</v>
      </c>
      <c r="V94" t="str">
        <f t="shared" si="8"/>
        <v>Completed</v>
      </c>
    </row>
    <row r="95" spans="1:22" x14ac:dyDescent="0.3">
      <c r="A95" s="2">
        <v>94</v>
      </c>
      <c r="B95" s="1">
        <v>45751</v>
      </c>
      <c r="C95" s="2" t="s">
        <v>17</v>
      </c>
      <c r="D95">
        <v>1797</v>
      </c>
      <c r="E95">
        <v>1127</v>
      </c>
      <c r="F95">
        <v>2096</v>
      </c>
      <c r="G95">
        <v>1532</v>
      </c>
      <c r="H95">
        <v>1073</v>
      </c>
      <c r="I95">
        <v>0.20549857099999999</v>
      </c>
      <c r="J95">
        <v>0.94148761299999995</v>
      </c>
      <c r="K95">
        <v>2460</v>
      </c>
      <c r="L95">
        <v>332</v>
      </c>
      <c r="M95" s="2">
        <v>7</v>
      </c>
      <c r="N95">
        <v>1.990775484</v>
      </c>
      <c r="O95">
        <v>0.91322652599999998</v>
      </c>
      <c r="P95" t="b">
        <v>0</v>
      </c>
      <c r="Q95">
        <v>0.34566639399999999</v>
      </c>
      <c r="R95" s="2">
        <v>1</v>
      </c>
      <c r="S95" s="2" t="str">
        <f t="shared" si="5"/>
        <v>Apr</v>
      </c>
      <c r="T95">
        <f t="shared" si="6"/>
        <v>2025</v>
      </c>
      <c r="U95" s="2" t="str">
        <f t="shared" si="7"/>
        <v>Q2</v>
      </c>
      <c r="V95" t="str">
        <f t="shared" si="8"/>
        <v>Completed</v>
      </c>
    </row>
    <row r="96" spans="1:22" x14ac:dyDescent="0.3">
      <c r="A96" s="2">
        <v>95</v>
      </c>
      <c r="B96" s="1">
        <v>45752</v>
      </c>
      <c r="C96" s="2" t="s">
        <v>5</v>
      </c>
      <c r="D96">
        <v>541</v>
      </c>
      <c r="E96">
        <v>2268</v>
      </c>
      <c r="F96">
        <v>769</v>
      </c>
      <c r="G96">
        <v>3307</v>
      </c>
      <c r="H96">
        <v>1680</v>
      </c>
      <c r="I96">
        <v>0.49201205199999998</v>
      </c>
      <c r="J96">
        <v>2.1832800190000001</v>
      </c>
      <c r="K96">
        <v>3734</v>
      </c>
      <c r="L96">
        <v>3005</v>
      </c>
      <c r="M96" s="2">
        <v>9</v>
      </c>
      <c r="N96">
        <v>1.7478999930000001</v>
      </c>
      <c r="O96">
        <v>0.949978141</v>
      </c>
      <c r="P96" t="b">
        <v>0</v>
      </c>
      <c r="Q96">
        <v>8.8920686999999998E-2</v>
      </c>
      <c r="R96" s="2">
        <v>1</v>
      </c>
      <c r="S96" s="2" t="str">
        <f t="shared" si="5"/>
        <v>Apr</v>
      </c>
      <c r="T96">
        <f t="shared" si="6"/>
        <v>2025</v>
      </c>
      <c r="U96" s="2" t="str">
        <f t="shared" si="7"/>
        <v>Q2</v>
      </c>
      <c r="V96" t="str">
        <f t="shared" si="8"/>
        <v>Completed</v>
      </c>
    </row>
    <row r="97" spans="1:22" x14ac:dyDescent="0.3">
      <c r="A97" s="2">
        <v>96</v>
      </c>
      <c r="B97" s="1">
        <v>45753</v>
      </c>
      <c r="C97" s="2" t="s">
        <v>5</v>
      </c>
      <c r="D97">
        <v>3200</v>
      </c>
      <c r="E97">
        <v>4108</v>
      </c>
      <c r="F97">
        <v>828</v>
      </c>
      <c r="G97">
        <v>2628</v>
      </c>
      <c r="H97">
        <v>2703</v>
      </c>
      <c r="I97">
        <v>0.497577257</v>
      </c>
      <c r="J97">
        <v>2.2977165350000002</v>
      </c>
      <c r="K97">
        <v>1101</v>
      </c>
      <c r="L97">
        <v>178</v>
      </c>
      <c r="M97" s="2">
        <v>7</v>
      </c>
      <c r="N97">
        <v>1.9983923219999999</v>
      </c>
      <c r="O97">
        <v>0.96026262500000004</v>
      </c>
      <c r="P97" t="b">
        <v>0</v>
      </c>
      <c r="Q97">
        <v>0.63246116100000005</v>
      </c>
      <c r="R97" s="2">
        <v>1</v>
      </c>
      <c r="S97" s="2" t="str">
        <f t="shared" si="5"/>
        <v>Apr</v>
      </c>
      <c r="T97">
        <f t="shared" si="6"/>
        <v>2025</v>
      </c>
      <c r="U97" s="2" t="str">
        <f t="shared" si="7"/>
        <v>Q2</v>
      </c>
      <c r="V97" t="str">
        <f t="shared" si="8"/>
        <v>Completed</v>
      </c>
    </row>
    <row r="98" spans="1:22" x14ac:dyDescent="0.3">
      <c r="A98" s="2">
        <v>97</v>
      </c>
      <c r="B98" s="1">
        <v>45754</v>
      </c>
      <c r="C98" s="2" t="s">
        <v>18</v>
      </c>
      <c r="D98">
        <v>4688</v>
      </c>
      <c r="E98">
        <v>1993</v>
      </c>
      <c r="F98">
        <v>1140</v>
      </c>
      <c r="G98">
        <v>4882</v>
      </c>
      <c r="H98">
        <v>2743</v>
      </c>
      <c r="I98">
        <v>0.55329136400000001</v>
      </c>
      <c r="J98">
        <v>2.9106078530000001</v>
      </c>
      <c r="K98">
        <v>4592</v>
      </c>
      <c r="L98">
        <v>2408</v>
      </c>
      <c r="M98" s="2">
        <v>9</v>
      </c>
      <c r="N98">
        <v>0.87991774700000003</v>
      </c>
      <c r="O98">
        <v>0.88802440800000004</v>
      </c>
      <c r="P98" t="b">
        <v>0</v>
      </c>
      <c r="Q98">
        <v>0.93663123500000001</v>
      </c>
      <c r="R98" s="2">
        <v>1</v>
      </c>
      <c r="S98" s="2" t="str">
        <f t="shared" si="5"/>
        <v>Apr</v>
      </c>
      <c r="T98">
        <f t="shared" si="6"/>
        <v>2025</v>
      </c>
      <c r="U98" s="2" t="str">
        <f t="shared" si="7"/>
        <v>Q2</v>
      </c>
      <c r="V98" t="str">
        <f t="shared" si="8"/>
        <v>Completed</v>
      </c>
    </row>
    <row r="99" spans="1:22" x14ac:dyDescent="0.3">
      <c r="A99" s="2">
        <v>98</v>
      </c>
      <c r="B99" s="1">
        <v>45755</v>
      </c>
      <c r="C99" s="2" t="s">
        <v>18</v>
      </c>
      <c r="D99">
        <v>1260</v>
      </c>
      <c r="E99">
        <v>2917</v>
      </c>
      <c r="F99">
        <v>2307</v>
      </c>
      <c r="G99">
        <v>1793</v>
      </c>
      <c r="H99">
        <v>848</v>
      </c>
      <c r="I99">
        <v>0.21142614800000001</v>
      </c>
      <c r="J99">
        <v>1.2506744519999999</v>
      </c>
      <c r="K99">
        <v>4095</v>
      </c>
      <c r="L99">
        <v>3259</v>
      </c>
      <c r="M99" s="2">
        <v>7</v>
      </c>
      <c r="N99">
        <v>1.6066810789999999</v>
      </c>
      <c r="O99">
        <v>0.82045646999999999</v>
      </c>
      <c r="P99" t="b">
        <v>0</v>
      </c>
      <c r="Q99">
        <v>0.23589533900000001</v>
      </c>
      <c r="R99" s="2">
        <v>1</v>
      </c>
      <c r="S99" s="2" t="str">
        <f t="shared" si="5"/>
        <v>Apr</v>
      </c>
      <c r="T99">
        <f t="shared" si="6"/>
        <v>2025</v>
      </c>
      <c r="U99" s="2" t="str">
        <f t="shared" si="7"/>
        <v>Q2</v>
      </c>
      <c r="V99" t="str">
        <f t="shared" si="8"/>
        <v>Completed</v>
      </c>
    </row>
    <row r="100" spans="1:22" x14ac:dyDescent="0.3">
      <c r="A100" s="2">
        <v>99</v>
      </c>
      <c r="B100" s="1">
        <v>45756</v>
      </c>
      <c r="C100" s="2" t="s">
        <v>18</v>
      </c>
      <c r="D100">
        <v>801</v>
      </c>
      <c r="E100">
        <v>3339</v>
      </c>
      <c r="F100">
        <v>571</v>
      </c>
      <c r="G100">
        <v>1210</v>
      </c>
      <c r="H100">
        <v>800</v>
      </c>
      <c r="I100">
        <v>0.65142160699999996</v>
      </c>
      <c r="J100">
        <v>2.7740698770000001</v>
      </c>
      <c r="K100">
        <v>2773</v>
      </c>
      <c r="L100">
        <v>985</v>
      </c>
      <c r="M100" s="2">
        <v>6</v>
      </c>
      <c r="N100">
        <v>1.713719749</v>
      </c>
      <c r="O100">
        <v>0.81626110200000002</v>
      </c>
      <c r="P100" t="b">
        <v>0</v>
      </c>
      <c r="Q100">
        <v>0.142068684</v>
      </c>
      <c r="R100" s="2">
        <v>1</v>
      </c>
      <c r="S100" s="2" t="str">
        <f t="shared" si="5"/>
        <v>Apr</v>
      </c>
      <c r="T100">
        <f t="shared" si="6"/>
        <v>2025</v>
      </c>
      <c r="U100" s="2" t="str">
        <f t="shared" si="7"/>
        <v>Q2</v>
      </c>
      <c r="V100" t="str">
        <f t="shared" si="8"/>
        <v>Completed</v>
      </c>
    </row>
    <row r="101" spans="1:22" x14ac:dyDescent="0.3">
      <c r="A101" s="2">
        <v>100</v>
      </c>
      <c r="B101" s="1">
        <v>45757</v>
      </c>
      <c r="C101" s="2" t="s">
        <v>5</v>
      </c>
      <c r="D101">
        <v>3964</v>
      </c>
      <c r="E101">
        <v>1385</v>
      </c>
      <c r="F101">
        <v>348</v>
      </c>
      <c r="G101">
        <v>917</v>
      </c>
      <c r="H101">
        <v>654</v>
      </c>
      <c r="I101">
        <v>0.31797737100000001</v>
      </c>
      <c r="J101">
        <v>2.7672425870000001</v>
      </c>
      <c r="K101">
        <v>762</v>
      </c>
      <c r="L101">
        <v>776</v>
      </c>
      <c r="M101" s="2">
        <v>2</v>
      </c>
      <c r="N101">
        <v>1.948354076</v>
      </c>
      <c r="O101">
        <v>0.83188081300000005</v>
      </c>
      <c r="P101" t="b">
        <v>0</v>
      </c>
      <c r="Q101">
        <v>0.78863450499999999</v>
      </c>
      <c r="R101" s="2">
        <v>1</v>
      </c>
      <c r="S101" s="2" t="str">
        <f t="shared" si="5"/>
        <v>Apr</v>
      </c>
      <c r="T101">
        <f t="shared" si="6"/>
        <v>2025</v>
      </c>
      <c r="U101" s="2" t="str">
        <f t="shared" si="7"/>
        <v>Q2</v>
      </c>
      <c r="V101" t="str">
        <f t="shared" si="8"/>
        <v>Completed</v>
      </c>
    </row>
    <row r="102" spans="1:22" x14ac:dyDescent="0.3">
      <c r="A102" s="2">
        <v>101</v>
      </c>
      <c r="B102" s="1">
        <v>45758</v>
      </c>
      <c r="C102" s="2" t="s">
        <v>16</v>
      </c>
      <c r="D102">
        <v>4943</v>
      </c>
      <c r="E102">
        <v>2588</v>
      </c>
      <c r="F102">
        <v>3311</v>
      </c>
      <c r="G102">
        <v>378</v>
      </c>
      <c r="H102">
        <v>2052</v>
      </c>
      <c r="I102">
        <v>0.465842955</v>
      </c>
      <c r="J102">
        <v>1.345428286</v>
      </c>
      <c r="K102">
        <v>129</v>
      </c>
      <c r="L102">
        <v>1381</v>
      </c>
      <c r="M102" s="2">
        <v>8</v>
      </c>
      <c r="N102">
        <v>0.55236838200000005</v>
      </c>
      <c r="O102">
        <v>0.88448313099999998</v>
      </c>
      <c r="P102" t="b">
        <v>0</v>
      </c>
      <c r="Q102">
        <v>0.98875715500000005</v>
      </c>
      <c r="R102" s="2">
        <v>1</v>
      </c>
      <c r="S102" s="2" t="str">
        <f t="shared" si="5"/>
        <v>Apr</v>
      </c>
      <c r="T102">
        <f t="shared" si="6"/>
        <v>2025</v>
      </c>
      <c r="U102" s="2" t="str">
        <f t="shared" si="7"/>
        <v>Q2</v>
      </c>
      <c r="V102" t="str">
        <f t="shared" si="8"/>
        <v>Completed</v>
      </c>
    </row>
    <row r="103" spans="1:22" x14ac:dyDescent="0.3">
      <c r="A103" s="2">
        <v>102</v>
      </c>
      <c r="B103" s="1">
        <v>45759</v>
      </c>
      <c r="C103" s="2" t="s">
        <v>5</v>
      </c>
      <c r="D103">
        <v>3960</v>
      </c>
      <c r="E103">
        <v>677</v>
      </c>
      <c r="F103">
        <v>1694</v>
      </c>
      <c r="G103">
        <v>1090</v>
      </c>
      <c r="H103">
        <v>2313</v>
      </c>
      <c r="I103">
        <v>0.41280287199999999</v>
      </c>
      <c r="J103">
        <v>0.57222969400000001</v>
      </c>
      <c r="K103">
        <v>2461</v>
      </c>
      <c r="L103">
        <v>3374</v>
      </c>
      <c r="M103" s="2">
        <v>3</v>
      </c>
      <c r="N103">
        <v>1.3633026690000001</v>
      </c>
      <c r="O103">
        <v>0.98046948899999997</v>
      </c>
      <c r="P103" t="b">
        <v>0</v>
      </c>
      <c r="Q103">
        <v>0.78781684399999996</v>
      </c>
      <c r="R103" s="2">
        <v>1</v>
      </c>
      <c r="S103" s="2" t="str">
        <f t="shared" si="5"/>
        <v>Apr</v>
      </c>
      <c r="T103">
        <f t="shared" si="6"/>
        <v>2025</v>
      </c>
      <c r="U103" s="2" t="str">
        <f t="shared" si="7"/>
        <v>Q2</v>
      </c>
      <c r="V103" t="str">
        <f t="shared" si="8"/>
        <v>Completed</v>
      </c>
    </row>
    <row r="104" spans="1:22" x14ac:dyDescent="0.3">
      <c r="A104" s="2">
        <v>103</v>
      </c>
      <c r="B104" s="1">
        <v>45760</v>
      </c>
      <c r="C104" s="2" t="s">
        <v>18</v>
      </c>
      <c r="D104">
        <v>2156</v>
      </c>
      <c r="E104">
        <v>1740</v>
      </c>
      <c r="F104">
        <v>1399</v>
      </c>
      <c r="G104">
        <v>3139</v>
      </c>
      <c r="H104">
        <v>3741</v>
      </c>
      <c r="I104">
        <v>0.238120215</v>
      </c>
      <c r="J104">
        <v>0.95207047499999997</v>
      </c>
      <c r="K104">
        <v>3614</v>
      </c>
      <c r="L104">
        <v>2129</v>
      </c>
      <c r="M104" s="2">
        <v>3</v>
      </c>
      <c r="N104">
        <v>1.378935687</v>
      </c>
      <c r="O104">
        <v>0.89715039100000005</v>
      </c>
      <c r="P104" t="b">
        <v>0</v>
      </c>
      <c r="Q104">
        <v>0.41905151299999999</v>
      </c>
      <c r="R104" s="2">
        <v>1</v>
      </c>
      <c r="S104" s="2" t="str">
        <f t="shared" si="5"/>
        <v>Apr</v>
      </c>
      <c r="T104">
        <f t="shared" si="6"/>
        <v>2025</v>
      </c>
      <c r="U104" s="2" t="str">
        <f t="shared" si="7"/>
        <v>Q2</v>
      </c>
      <c r="V104" t="str">
        <f t="shared" si="8"/>
        <v>Completed</v>
      </c>
    </row>
    <row r="105" spans="1:22" x14ac:dyDescent="0.3">
      <c r="A105" s="2">
        <v>104</v>
      </c>
      <c r="B105" s="1">
        <v>45761</v>
      </c>
      <c r="C105" s="2" t="s">
        <v>17</v>
      </c>
      <c r="D105">
        <v>4157</v>
      </c>
      <c r="E105">
        <v>2360</v>
      </c>
      <c r="F105">
        <v>3903</v>
      </c>
      <c r="G105">
        <v>4885</v>
      </c>
      <c r="H105">
        <v>1899</v>
      </c>
      <c r="I105">
        <v>0.45078360299999998</v>
      </c>
      <c r="J105">
        <v>1.882750363</v>
      </c>
      <c r="K105">
        <v>3722</v>
      </c>
      <c r="L105">
        <v>1158</v>
      </c>
      <c r="M105" s="2">
        <v>2</v>
      </c>
      <c r="N105">
        <v>1.459496943</v>
      </c>
      <c r="O105">
        <v>0.97995066600000003</v>
      </c>
      <c r="P105" t="b">
        <v>0</v>
      </c>
      <c r="Q105">
        <v>0.82808667199999997</v>
      </c>
      <c r="R105" s="2">
        <v>1</v>
      </c>
      <c r="S105" s="2" t="str">
        <f t="shared" si="5"/>
        <v>Apr</v>
      </c>
      <c r="T105">
        <f t="shared" si="6"/>
        <v>2025</v>
      </c>
      <c r="U105" s="2" t="str">
        <f t="shared" si="7"/>
        <v>Q2</v>
      </c>
      <c r="V105" t="str">
        <f t="shared" si="8"/>
        <v>Completed</v>
      </c>
    </row>
    <row r="106" spans="1:22" x14ac:dyDescent="0.3">
      <c r="A106" s="2">
        <v>105</v>
      </c>
      <c r="B106" s="1">
        <v>45762</v>
      </c>
      <c r="C106" s="2" t="s">
        <v>18</v>
      </c>
      <c r="D106">
        <v>1636</v>
      </c>
      <c r="E106">
        <v>2461</v>
      </c>
      <c r="F106">
        <v>273</v>
      </c>
      <c r="G106">
        <v>3597</v>
      </c>
      <c r="H106">
        <v>278</v>
      </c>
      <c r="I106">
        <v>0.62584945300000006</v>
      </c>
      <c r="J106">
        <v>2.5346706929999998</v>
      </c>
      <c r="K106">
        <v>1475</v>
      </c>
      <c r="L106">
        <v>2590</v>
      </c>
      <c r="M106" s="2">
        <v>3</v>
      </c>
      <c r="N106">
        <v>1.8405753949999999</v>
      </c>
      <c r="O106">
        <v>0.94493550100000001</v>
      </c>
      <c r="P106" t="b">
        <v>0</v>
      </c>
      <c r="Q106">
        <v>0.31275551899999998</v>
      </c>
      <c r="R106" s="2">
        <v>1</v>
      </c>
      <c r="S106" s="2" t="str">
        <f t="shared" si="5"/>
        <v>Apr</v>
      </c>
      <c r="T106">
        <f t="shared" si="6"/>
        <v>2025</v>
      </c>
      <c r="U106" s="2" t="str">
        <f t="shared" si="7"/>
        <v>Q2</v>
      </c>
      <c r="V106" t="str">
        <f t="shared" si="8"/>
        <v>Completed</v>
      </c>
    </row>
    <row r="107" spans="1:22" x14ac:dyDescent="0.3">
      <c r="A107" s="2">
        <v>106</v>
      </c>
      <c r="B107" s="1">
        <v>45763</v>
      </c>
      <c r="C107" s="2" t="s">
        <v>17</v>
      </c>
      <c r="D107">
        <v>2488</v>
      </c>
      <c r="E107">
        <v>3137</v>
      </c>
      <c r="F107">
        <v>3932</v>
      </c>
      <c r="G107">
        <v>910</v>
      </c>
      <c r="H107">
        <v>3036</v>
      </c>
      <c r="I107">
        <v>0.31914465600000003</v>
      </c>
      <c r="J107">
        <v>2.0693168279999998</v>
      </c>
      <c r="K107">
        <v>3181</v>
      </c>
      <c r="L107">
        <v>1720</v>
      </c>
      <c r="M107" s="2">
        <v>1</v>
      </c>
      <c r="N107">
        <v>1.01447939</v>
      </c>
      <c r="O107">
        <v>0.95401569500000005</v>
      </c>
      <c r="P107" t="b">
        <v>0</v>
      </c>
      <c r="Q107">
        <v>0.48691741599999999</v>
      </c>
      <c r="R107" s="2">
        <v>1</v>
      </c>
      <c r="S107" s="2" t="str">
        <f t="shared" si="5"/>
        <v>Apr</v>
      </c>
      <c r="T107">
        <f t="shared" si="6"/>
        <v>2025</v>
      </c>
      <c r="U107" s="2" t="str">
        <f t="shared" si="7"/>
        <v>Q2</v>
      </c>
      <c r="V107" t="str">
        <f t="shared" si="8"/>
        <v>Completed</v>
      </c>
    </row>
    <row r="108" spans="1:22" x14ac:dyDescent="0.3">
      <c r="A108" s="2">
        <v>107</v>
      </c>
      <c r="B108" s="1">
        <v>45764</v>
      </c>
      <c r="C108" s="2" t="s">
        <v>16</v>
      </c>
      <c r="D108">
        <v>808</v>
      </c>
      <c r="E108">
        <v>2245</v>
      </c>
      <c r="F108">
        <v>1141</v>
      </c>
      <c r="G108">
        <v>1630</v>
      </c>
      <c r="H108">
        <v>1490</v>
      </c>
      <c r="I108">
        <v>0.29004890799999999</v>
      </c>
      <c r="J108">
        <v>1.626377765</v>
      </c>
      <c r="K108">
        <v>2090</v>
      </c>
      <c r="L108">
        <v>1617</v>
      </c>
      <c r="M108" s="2">
        <v>9</v>
      </c>
      <c r="N108">
        <v>1.673164651</v>
      </c>
      <c r="O108">
        <v>0.93338901399999996</v>
      </c>
      <c r="P108" t="b">
        <v>0</v>
      </c>
      <c r="Q108">
        <v>0.14349959100000001</v>
      </c>
      <c r="R108" s="2">
        <v>1</v>
      </c>
      <c r="S108" s="2" t="str">
        <f t="shared" si="5"/>
        <v>Apr</v>
      </c>
      <c r="T108">
        <f t="shared" si="6"/>
        <v>2025</v>
      </c>
      <c r="U108" s="2" t="str">
        <f t="shared" si="7"/>
        <v>Q2</v>
      </c>
      <c r="V108" t="str">
        <f t="shared" si="8"/>
        <v>Completed</v>
      </c>
    </row>
    <row r="109" spans="1:22" x14ac:dyDescent="0.3">
      <c r="A109" s="2">
        <v>108</v>
      </c>
      <c r="B109" s="1">
        <v>45765</v>
      </c>
      <c r="C109" s="2" t="s">
        <v>18</v>
      </c>
      <c r="D109">
        <v>833</v>
      </c>
      <c r="E109">
        <v>2801</v>
      </c>
      <c r="F109">
        <v>3960</v>
      </c>
      <c r="G109">
        <v>574</v>
      </c>
      <c r="H109">
        <v>3221</v>
      </c>
      <c r="I109">
        <v>0.354661897</v>
      </c>
      <c r="J109">
        <v>1.63927969</v>
      </c>
      <c r="K109">
        <v>1367</v>
      </c>
      <c r="L109">
        <v>3403</v>
      </c>
      <c r="M109" s="2">
        <v>5</v>
      </c>
      <c r="N109">
        <v>0.61481428599999999</v>
      </c>
      <c r="O109">
        <v>0.81615849500000004</v>
      </c>
      <c r="P109" t="b">
        <v>0</v>
      </c>
      <c r="Q109">
        <v>0.14860997500000001</v>
      </c>
      <c r="R109" s="2">
        <v>1</v>
      </c>
      <c r="S109" s="2" t="str">
        <f t="shared" si="5"/>
        <v>Apr</v>
      </c>
      <c r="T109">
        <f t="shared" si="6"/>
        <v>2025</v>
      </c>
      <c r="U109" s="2" t="str">
        <f t="shared" si="7"/>
        <v>Q2</v>
      </c>
      <c r="V109" t="str">
        <f t="shared" si="8"/>
        <v>Completed</v>
      </c>
    </row>
    <row r="110" spans="1:22" x14ac:dyDescent="0.3">
      <c r="A110" s="2">
        <v>109</v>
      </c>
      <c r="B110" s="1">
        <v>45766</v>
      </c>
      <c r="C110" s="2" t="s">
        <v>18</v>
      </c>
      <c r="D110">
        <v>4977</v>
      </c>
      <c r="E110">
        <v>4319</v>
      </c>
      <c r="F110">
        <v>655</v>
      </c>
      <c r="G110">
        <v>2483</v>
      </c>
      <c r="H110">
        <v>907</v>
      </c>
      <c r="I110">
        <v>0.42292336400000002</v>
      </c>
      <c r="J110">
        <v>2.287176235</v>
      </c>
      <c r="K110">
        <v>2906</v>
      </c>
      <c r="L110">
        <v>2344</v>
      </c>
      <c r="M110" s="2">
        <v>8</v>
      </c>
      <c r="N110">
        <v>0.50791328199999997</v>
      </c>
      <c r="O110">
        <v>0.81399433200000004</v>
      </c>
      <c r="P110" t="b">
        <v>0</v>
      </c>
      <c r="Q110">
        <v>0.99570727699999995</v>
      </c>
      <c r="R110" s="2">
        <v>1</v>
      </c>
      <c r="S110" s="2" t="str">
        <f t="shared" si="5"/>
        <v>Apr</v>
      </c>
      <c r="T110">
        <f t="shared" si="6"/>
        <v>2025</v>
      </c>
      <c r="U110" s="2" t="str">
        <f t="shared" si="7"/>
        <v>Q2</v>
      </c>
      <c r="V110" t="str">
        <f t="shared" si="8"/>
        <v>Completed</v>
      </c>
    </row>
    <row r="111" spans="1:22" x14ac:dyDescent="0.3">
      <c r="A111" s="2">
        <v>110</v>
      </c>
      <c r="B111" s="1">
        <v>45767</v>
      </c>
      <c r="C111" s="2" t="s">
        <v>5</v>
      </c>
      <c r="D111">
        <v>3303</v>
      </c>
      <c r="E111">
        <v>3394</v>
      </c>
      <c r="F111">
        <v>1665</v>
      </c>
      <c r="G111">
        <v>1776</v>
      </c>
      <c r="H111">
        <v>3960</v>
      </c>
      <c r="I111">
        <v>0.751815915</v>
      </c>
      <c r="J111">
        <v>2.6301165000000002</v>
      </c>
      <c r="K111">
        <v>4632</v>
      </c>
      <c r="L111">
        <v>458</v>
      </c>
      <c r="M111" s="2">
        <v>8</v>
      </c>
      <c r="N111">
        <v>1.8822875189999999</v>
      </c>
      <c r="O111">
        <v>0.85017722299999998</v>
      </c>
      <c r="P111" t="b">
        <v>0</v>
      </c>
      <c r="Q111">
        <v>0.65351594400000002</v>
      </c>
      <c r="R111" s="2">
        <v>0</v>
      </c>
      <c r="S111" s="2" t="str">
        <f t="shared" si="5"/>
        <v>Apr</v>
      </c>
      <c r="T111">
        <f t="shared" si="6"/>
        <v>2025</v>
      </c>
      <c r="U111" s="2" t="str">
        <f t="shared" si="7"/>
        <v>Q2</v>
      </c>
      <c r="V111" t="str">
        <f t="shared" si="8"/>
        <v>Completed</v>
      </c>
    </row>
    <row r="112" spans="1:22" x14ac:dyDescent="0.3">
      <c r="A112" s="2">
        <v>111</v>
      </c>
      <c r="B112" s="1">
        <v>45768</v>
      </c>
      <c r="C112" s="2" t="s">
        <v>5</v>
      </c>
      <c r="D112">
        <v>3680</v>
      </c>
      <c r="E112">
        <v>1687</v>
      </c>
      <c r="F112">
        <v>2284</v>
      </c>
      <c r="G112">
        <v>4893</v>
      </c>
      <c r="H112">
        <v>1496</v>
      </c>
      <c r="I112">
        <v>0.41698896200000002</v>
      </c>
      <c r="J112">
        <v>2.0658179959999998</v>
      </c>
      <c r="K112">
        <v>4417</v>
      </c>
      <c r="L112">
        <v>2734</v>
      </c>
      <c r="M112" s="2">
        <v>4</v>
      </c>
      <c r="N112">
        <v>1.6445570629999999</v>
      </c>
      <c r="O112">
        <v>0.95043736700000003</v>
      </c>
      <c r="P112" t="b">
        <v>0</v>
      </c>
      <c r="Q112">
        <v>0.73058053999999994</v>
      </c>
      <c r="R112" s="2">
        <v>1</v>
      </c>
      <c r="S112" s="2" t="str">
        <f t="shared" si="5"/>
        <v>Apr</v>
      </c>
      <c r="T112">
        <f t="shared" si="6"/>
        <v>2025</v>
      </c>
      <c r="U112" s="2" t="str">
        <f t="shared" si="7"/>
        <v>Q2</v>
      </c>
      <c r="V112" t="str">
        <f t="shared" si="8"/>
        <v>Failed</v>
      </c>
    </row>
    <row r="113" spans="1:22" x14ac:dyDescent="0.3">
      <c r="A113" s="2">
        <v>112</v>
      </c>
      <c r="B113" s="1">
        <v>45769</v>
      </c>
      <c r="C113" s="2" t="s">
        <v>16</v>
      </c>
      <c r="D113">
        <v>341</v>
      </c>
      <c r="E113">
        <v>1764</v>
      </c>
      <c r="F113">
        <v>3823</v>
      </c>
      <c r="G113">
        <v>4997</v>
      </c>
      <c r="H113">
        <v>1337</v>
      </c>
      <c r="I113">
        <v>0.49429843400000001</v>
      </c>
      <c r="J113">
        <v>0.79443372000000001</v>
      </c>
      <c r="K113">
        <v>3588</v>
      </c>
      <c r="L113">
        <v>2352</v>
      </c>
      <c r="M113" s="2">
        <v>3</v>
      </c>
      <c r="N113">
        <v>0.67504552799999995</v>
      </c>
      <c r="O113">
        <v>0.912559601</v>
      </c>
      <c r="P113" t="b">
        <v>0</v>
      </c>
      <c r="Q113">
        <v>4.8037612E-2</v>
      </c>
      <c r="R113" s="2">
        <v>1</v>
      </c>
      <c r="S113" s="2" t="str">
        <f t="shared" si="5"/>
        <v>Apr</v>
      </c>
      <c r="T113">
        <f t="shared" si="6"/>
        <v>2025</v>
      </c>
      <c r="U113" s="2" t="str">
        <f t="shared" si="7"/>
        <v>Q2</v>
      </c>
      <c r="V113" t="str">
        <f t="shared" si="8"/>
        <v>Completed</v>
      </c>
    </row>
    <row r="114" spans="1:22" x14ac:dyDescent="0.3">
      <c r="A114" s="2">
        <v>113</v>
      </c>
      <c r="B114" s="1">
        <v>45770</v>
      </c>
      <c r="C114" s="2" t="s">
        <v>18</v>
      </c>
      <c r="D114">
        <v>1497</v>
      </c>
      <c r="E114">
        <v>1542</v>
      </c>
      <c r="F114">
        <v>356</v>
      </c>
      <c r="G114">
        <v>4215</v>
      </c>
      <c r="H114">
        <v>1221</v>
      </c>
      <c r="I114">
        <v>0.60860276000000002</v>
      </c>
      <c r="J114">
        <v>2.1524324240000001</v>
      </c>
      <c r="K114">
        <v>188</v>
      </c>
      <c r="L114">
        <v>3062</v>
      </c>
      <c r="M114" s="2">
        <v>8</v>
      </c>
      <c r="N114">
        <v>0.75551795499999996</v>
      </c>
      <c r="O114">
        <v>0.84237551799999999</v>
      </c>
      <c r="P114" t="b">
        <v>0</v>
      </c>
      <c r="Q114">
        <v>0.28434178300000001</v>
      </c>
      <c r="R114" s="2">
        <v>1</v>
      </c>
      <c r="S114" s="2" t="str">
        <f t="shared" si="5"/>
        <v>Apr</v>
      </c>
      <c r="T114">
        <f t="shared" si="6"/>
        <v>2025</v>
      </c>
      <c r="U114" s="2" t="str">
        <f t="shared" si="7"/>
        <v>Q2</v>
      </c>
      <c r="V114" t="str">
        <f t="shared" si="8"/>
        <v>Completed</v>
      </c>
    </row>
    <row r="115" spans="1:22" x14ac:dyDescent="0.3">
      <c r="A115" s="2">
        <v>114</v>
      </c>
      <c r="B115" s="1">
        <v>45771</v>
      </c>
      <c r="C115" s="2" t="s">
        <v>17</v>
      </c>
      <c r="D115">
        <v>4533</v>
      </c>
      <c r="E115">
        <v>2813</v>
      </c>
      <c r="F115">
        <v>1465</v>
      </c>
      <c r="G115">
        <v>4530</v>
      </c>
      <c r="H115">
        <v>1919</v>
      </c>
      <c r="I115">
        <v>0.56836742900000004</v>
      </c>
      <c r="J115">
        <v>1.7724458590000001</v>
      </c>
      <c r="K115">
        <v>1698</v>
      </c>
      <c r="L115">
        <v>3441</v>
      </c>
      <c r="M115" s="2">
        <v>2</v>
      </c>
      <c r="N115">
        <v>1.2483374039999999</v>
      </c>
      <c r="O115">
        <v>0.83544018499999995</v>
      </c>
      <c r="P115" t="b">
        <v>0</v>
      </c>
      <c r="Q115">
        <v>0.90494685200000002</v>
      </c>
      <c r="R115" s="2">
        <v>1</v>
      </c>
      <c r="S115" s="2" t="str">
        <f t="shared" si="5"/>
        <v>Apr</v>
      </c>
      <c r="T115">
        <f t="shared" si="6"/>
        <v>2025</v>
      </c>
      <c r="U115" s="2" t="str">
        <f t="shared" si="7"/>
        <v>Q2</v>
      </c>
      <c r="V115" t="str">
        <f t="shared" si="8"/>
        <v>Completed</v>
      </c>
    </row>
    <row r="116" spans="1:22" x14ac:dyDescent="0.3">
      <c r="A116" s="2">
        <v>115</v>
      </c>
      <c r="B116" s="1">
        <v>45772</v>
      </c>
      <c r="C116" s="2" t="s">
        <v>17</v>
      </c>
      <c r="D116">
        <v>4398</v>
      </c>
      <c r="E116">
        <v>2938</v>
      </c>
      <c r="F116">
        <v>3773</v>
      </c>
      <c r="G116">
        <v>1878</v>
      </c>
      <c r="H116">
        <v>3229</v>
      </c>
      <c r="I116">
        <v>0.22095399600000001</v>
      </c>
      <c r="J116">
        <v>1.3593487500000001</v>
      </c>
      <c r="K116">
        <v>2119</v>
      </c>
      <c r="L116">
        <v>813</v>
      </c>
      <c r="M116" s="2">
        <v>9</v>
      </c>
      <c r="N116">
        <v>1.9505087889999999</v>
      </c>
      <c r="O116">
        <v>0.92435745899999999</v>
      </c>
      <c r="P116" t="b">
        <v>0</v>
      </c>
      <c r="Q116">
        <v>0.87735077699999997</v>
      </c>
      <c r="R116" s="2">
        <v>1</v>
      </c>
      <c r="S116" s="2" t="str">
        <f t="shared" si="5"/>
        <v>Apr</v>
      </c>
      <c r="T116">
        <f t="shared" si="6"/>
        <v>2025</v>
      </c>
      <c r="U116" s="2" t="str">
        <f t="shared" si="7"/>
        <v>Q2</v>
      </c>
      <c r="V116" t="str">
        <f t="shared" si="8"/>
        <v>Completed</v>
      </c>
    </row>
    <row r="117" spans="1:22" x14ac:dyDescent="0.3">
      <c r="A117" s="2">
        <v>116</v>
      </c>
      <c r="B117" s="1">
        <v>45773</v>
      </c>
      <c r="C117" s="2" t="s">
        <v>17</v>
      </c>
      <c r="D117">
        <v>1842</v>
      </c>
      <c r="E117">
        <v>837</v>
      </c>
      <c r="F117">
        <v>2242</v>
      </c>
      <c r="G117">
        <v>4510</v>
      </c>
      <c r="H117">
        <v>832</v>
      </c>
      <c r="I117">
        <v>0.48943181600000002</v>
      </c>
      <c r="J117">
        <v>2.2385284670000001</v>
      </c>
      <c r="K117">
        <v>3064</v>
      </c>
      <c r="L117">
        <v>1276</v>
      </c>
      <c r="M117" s="2">
        <v>2</v>
      </c>
      <c r="N117">
        <v>0.57590456899999998</v>
      </c>
      <c r="O117">
        <v>0.96088368199999996</v>
      </c>
      <c r="P117" t="b">
        <v>0</v>
      </c>
      <c r="Q117">
        <v>0.354865086</v>
      </c>
      <c r="R117" s="2">
        <v>1</v>
      </c>
      <c r="S117" s="2" t="str">
        <f t="shared" si="5"/>
        <v>Apr</v>
      </c>
      <c r="T117">
        <f t="shared" si="6"/>
        <v>2025</v>
      </c>
      <c r="U117" s="2" t="str">
        <f t="shared" si="7"/>
        <v>Q2</v>
      </c>
      <c r="V117" t="str">
        <f t="shared" si="8"/>
        <v>Completed</v>
      </c>
    </row>
    <row r="118" spans="1:22" x14ac:dyDescent="0.3">
      <c r="A118" s="2">
        <v>117</v>
      </c>
      <c r="B118" s="1">
        <v>45774</v>
      </c>
      <c r="C118" s="2" t="s">
        <v>18</v>
      </c>
      <c r="D118">
        <v>2361</v>
      </c>
      <c r="E118">
        <v>862</v>
      </c>
      <c r="F118">
        <v>3820</v>
      </c>
      <c r="G118">
        <v>4185</v>
      </c>
      <c r="H118">
        <v>3685</v>
      </c>
      <c r="I118">
        <v>0.47930572199999999</v>
      </c>
      <c r="J118">
        <v>2.8040910600000002</v>
      </c>
      <c r="K118">
        <v>1692</v>
      </c>
      <c r="L118">
        <v>3570</v>
      </c>
      <c r="M118" s="2">
        <v>2</v>
      </c>
      <c r="N118">
        <v>1.017131059</v>
      </c>
      <c r="O118">
        <v>0.83107189699999995</v>
      </c>
      <c r="P118" t="b">
        <v>0</v>
      </c>
      <c r="Q118">
        <v>0.46095666400000002</v>
      </c>
      <c r="R118" s="2">
        <v>1</v>
      </c>
      <c r="S118" s="2" t="str">
        <f t="shared" si="5"/>
        <v>Apr</v>
      </c>
      <c r="T118">
        <f t="shared" si="6"/>
        <v>2025</v>
      </c>
      <c r="U118" s="2" t="str">
        <f t="shared" si="7"/>
        <v>Q2</v>
      </c>
      <c r="V118" t="str">
        <f t="shared" si="8"/>
        <v>Completed</v>
      </c>
    </row>
    <row r="119" spans="1:22" x14ac:dyDescent="0.3">
      <c r="A119" s="2">
        <v>118</v>
      </c>
      <c r="B119" s="1">
        <v>45775</v>
      </c>
      <c r="C119" s="2" t="s">
        <v>17</v>
      </c>
      <c r="D119">
        <v>368</v>
      </c>
      <c r="E119">
        <v>3593</v>
      </c>
      <c r="F119">
        <v>1148</v>
      </c>
      <c r="G119">
        <v>3776</v>
      </c>
      <c r="H119">
        <v>1403</v>
      </c>
      <c r="I119">
        <v>0.64846006300000003</v>
      </c>
      <c r="J119">
        <v>1.1158433350000001</v>
      </c>
      <c r="K119">
        <v>4952</v>
      </c>
      <c r="L119">
        <v>1064</v>
      </c>
      <c r="M119" s="2">
        <v>5</v>
      </c>
      <c r="N119">
        <v>0.76219406499999998</v>
      </c>
      <c r="O119">
        <v>0.96888338100000004</v>
      </c>
      <c r="P119" t="b">
        <v>0</v>
      </c>
      <c r="Q119">
        <v>5.3556827000000001E-2</v>
      </c>
      <c r="R119" s="2">
        <v>1</v>
      </c>
      <c r="S119" s="2" t="str">
        <f t="shared" si="5"/>
        <v>Apr</v>
      </c>
      <c r="T119">
        <f t="shared" si="6"/>
        <v>2025</v>
      </c>
      <c r="U119" s="2" t="str">
        <f t="shared" si="7"/>
        <v>Q2</v>
      </c>
      <c r="V119" t="str">
        <f t="shared" si="8"/>
        <v>Completed</v>
      </c>
    </row>
    <row r="120" spans="1:22" x14ac:dyDescent="0.3">
      <c r="A120" s="2">
        <v>119</v>
      </c>
      <c r="B120" s="1">
        <v>45776</v>
      </c>
      <c r="C120" s="2" t="s">
        <v>16</v>
      </c>
      <c r="D120">
        <v>2774</v>
      </c>
      <c r="E120">
        <v>4327</v>
      </c>
      <c r="F120">
        <v>253</v>
      </c>
      <c r="G120">
        <v>3363</v>
      </c>
      <c r="H120">
        <v>3191</v>
      </c>
      <c r="I120">
        <v>0.56524251299999995</v>
      </c>
      <c r="J120">
        <v>0.69881341500000005</v>
      </c>
      <c r="K120">
        <v>2937</v>
      </c>
      <c r="L120">
        <v>3215</v>
      </c>
      <c r="M120" s="2">
        <v>9</v>
      </c>
      <c r="N120">
        <v>1.862146587</v>
      </c>
      <c r="O120">
        <v>0.85739637000000002</v>
      </c>
      <c r="P120" t="b">
        <v>0</v>
      </c>
      <c r="Q120">
        <v>0.54538021299999995</v>
      </c>
      <c r="R120" s="2">
        <v>1</v>
      </c>
      <c r="S120" s="2" t="str">
        <f t="shared" si="5"/>
        <v>Apr</v>
      </c>
      <c r="T120">
        <f t="shared" si="6"/>
        <v>2025</v>
      </c>
      <c r="U120" s="2" t="str">
        <f t="shared" si="7"/>
        <v>Q2</v>
      </c>
      <c r="V120" t="str">
        <f t="shared" si="8"/>
        <v>Completed</v>
      </c>
    </row>
    <row r="121" spans="1:22" x14ac:dyDescent="0.3">
      <c r="A121" s="2">
        <v>120</v>
      </c>
      <c r="B121" s="1">
        <v>45777</v>
      </c>
      <c r="C121" s="2" t="s">
        <v>18</v>
      </c>
      <c r="D121">
        <v>4017</v>
      </c>
      <c r="E121">
        <v>2945</v>
      </c>
      <c r="F121">
        <v>3000</v>
      </c>
      <c r="G121">
        <v>2436</v>
      </c>
      <c r="H121">
        <v>427</v>
      </c>
      <c r="I121">
        <v>0.68946912400000004</v>
      </c>
      <c r="J121">
        <v>2.6766406360000001</v>
      </c>
      <c r="K121">
        <v>2129</v>
      </c>
      <c r="L121">
        <v>1164</v>
      </c>
      <c r="M121" s="2">
        <v>7</v>
      </c>
      <c r="N121">
        <v>1.961708569</v>
      </c>
      <c r="O121">
        <v>0.80057292800000002</v>
      </c>
      <c r="P121" t="b">
        <v>1</v>
      </c>
      <c r="Q121">
        <v>0.79946852000000002</v>
      </c>
      <c r="R121" s="2">
        <v>1</v>
      </c>
      <c r="S121" s="2" t="str">
        <f t="shared" si="5"/>
        <v>Apr</v>
      </c>
      <c r="T121">
        <f t="shared" si="6"/>
        <v>2025</v>
      </c>
      <c r="U121" s="2" t="str">
        <f t="shared" si="7"/>
        <v>Q2</v>
      </c>
      <c r="V121" t="str">
        <f t="shared" si="8"/>
        <v>Completed</v>
      </c>
    </row>
    <row r="122" spans="1:22" x14ac:dyDescent="0.3">
      <c r="A122" s="2">
        <v>121</v>
      </c>
      <c r="B122" s="1">
        <v>45778</v>
      </c>
      <c r="C122" s="2" t="s">
        <v>17</v>
      </c>
      <c r="D122">
        <v>4537</v>
      </c>
      <c r="E122">
        <v>2375</v>
      </c>
      <c r="F122">
        <v>2908</v>
      </c>
      <c r="G122">
        <v>2608</v>
      </c>
      <c r="H122">
        <v>794</v>
      </c>
      <c r="I122">
        <v>0.394555973</v>
      </c>
      <c r="J122">
        <v>2.8596672399999998</v>
      </c>
      <c r="K122">
        <v>3232</v>
      </c>
      <c r="L122">
        <v>208</v>
      </c>
      <c r="M122" s="2">
        <v>4</v>
      </c>
      <c r="N122">
        <v>1.358119997</v>
      </c>
      <c r="O122">
        <v>0.92667898800000004</v>
      </c>
      <c r="P122" t="b">
        <v>0</v>
      </c>
      <c r="Q122">
        <v>0.90576451300000005</v>
      </c>
      <c r="R122" s="2">
        <v>1</v>
      </c>
      <c r="S122" s="2" t="str">
        <f t="shared" si="5"/>
        <v>May</v>
      </c>
      <c r="T122">
        <f t="shared" si="6"/>
        <v>2025</v>
      </c>
      <c r="U122" s="2" t="str">
        <f t="shared" si="7"/>
        <v>Q2</v>
      </c>
      <c r="V122" t="str">
        <f t="shared" si="8"/>
        <v>Completed</v>
      </c>
    </row>
    <row r="123" spans="1:22" x14ac:dyDescent="0.3">
      <c r="A123" s="2">
        <v>122</v>
      </c>
      <c r="B123" s="1">
        <v>45779</v>
      </c>
      <c r="C123" s="2" t="s">
        <v>17</v>
      </c>
      <c r="D123">
        <v>2909</v>
      </c>
      <c r="E123">
        <v>2841</v>
      </c>
      <c r="F123">
        <v>2897</v>
      </c>
      <c r="G123">
        <v>1338</v>
      </c>
      <c r="H123">
        <v>1176</v>
      </c>
      <c r="I123">
        <v>0.57349959500000003</v>
      </c>
      <c r="J123">
        <v>2.495194213</v>
      </c>
      <c r="K123">
        <v>721</v>
      </c>
      <c r="L123">
        <v>214</v>
      </c>
      <c r="M123" s="2">
        <v>8</v>
      </c>
      <c r="N123">
        <v>1.003788074</v>
      </c>
      <c r="O123">
        <v>0.840202754</v>
      </c>
      <c r="P123" t="b">
        <v>0</v>
      </c>
      <c r="Q123">
        <v>0.572976288</v>
      </c>
      <c r="R123" s="2">
        <v>1</v>
      </c>
      <c r="S123" s="2" t="str">
        <f t="shared" si="5"/>
        <v>May</v>
      </c>
      <c r="T123">
        <f t="shared" si="6"/>
        <v>2025</v>
      </c>
      <c r="U123" s="2" t="str">
        <f t="shared" si="7"/>
        <v>Q2</v>
      </c>
      <c r="V123" t="str">
        <f t="shared" si="8"/>
        <v>Completed</v>
      </c>
    </row>
    <row r="124" spans="1:22" x14ac:dyDescent="0.3">
      <c r="A124" s="2">
        <v>123</v>
      </c>
      <c r="B124" s="1">
        <v>45780</v>
      </c>
      <c r="C124" s="2" t="s">
        <v>17</v>
      </c>
      <c r="D124">
        <v>3745</v>
      </c>
      <c r="E124">
        <v>1226</v>
      </c>
      <c r="F124">
        <v>3968</v>
      </c>
      <c r="G124">
        <v>1659</v>
      </c>
      <c r="H124">
        <v>259</v>
      </c>
      <c r="I124">
        <v>0.39852681099999998</v>
      </c>
      <c r="J124">
        <v>1.5980768869999999</v>
      </c>
      <c r="K124">
        <v>3386</v>
      </c>
      <c r="L124">
        <v>2699</v>
      </c>
      <c r="M124" s="2">
        <v>9</v>
      </c>
      <c r="N124">
        <v>1.7549934540000001</v>
      </c>
      <c r="O124">
        <v>0.97876008199999998</v>
      </c>
      <c r="P124" t="b">
        <v>1</v>
      </c>
      <c r="Q124">
        <v>0.74386753900000002</v>
      </c>
      <c r="R124" s="2">
        <v>1</v>
      </c>
      <c r="S124" s="2" t="str">
        <f t="shared" si="5"/>
        <v>May</v>
      </c>
      <c r="T124">
        <f t="shared" si="6"/>
        <v>2025</v>
      </c>
      <c r="U124" s="2" t="str">
        <f t="shared" si="7"/>
        <v>Q2</v>
      </c>
      <c r="V124" t="str">
        <f t="shared" si="8"/>
        <v>Completed</v>
      </c>
    </row>
    <row r="125" spans="1:22" x14ac:dyDescent="0.3">
      <c r="A125" s="2">
        <v>124</v>
      </c>
      <c r="B125" s="1">
        <v>45781</v>
      </c>
      <c r="C125" s="2" t="s">
        <v>17</v>
      </c>
      <c r="D125">
        <v>498</v>
      </c>
      <c r="E125">
        <v>984</v>
      </c>
      <c r="F125">
        <v>1730</v>
      </c>
      <c r="G125">
        <v>4007</v>
      </c>
      <c r="H125">
        <v>2503</v>
      </c>
      <c r="I125">
        <v>0.40097323699999998</v>
      </c>
      <c r="J125">
        <v>2.7476638580000001</v>
      </c>
      <c r="K125">
        <v>1451</v>
      </c>
      <c r="L125">
        <v>3014</v>
      </c>
      <c r="M125" s="2">
        <v>2</v>
      </c>
      <c r="N125">
        <v>1.6847299469999999</v>
      </c>
      <c r="O125">
        <v>0.83045837</v>
      </c>
      <c r="P125" t="b">
        <v>0</v>
      </c>
      <c r="Q125">
        <v>8.0130826000000002E-2</v>
      </c>
      <c r="R125" s="2">
        <v>1</v>
      </c>
      <c r="S125" s="2" t="str">
        <f t="shared" si="5"/>
        <v>May</v>
      </c>
      <c r="T125">
        <f t="shared" si="6"/>
        <v>2025</v>
      </c>
      <c r="U125" s="2" t="str">
        <f t="shared" si="7"/>
        <v>Q2</v>
      </c>
      <c r="V125" t="str">
        <f t="shared" si="8"/>
        <v>Completed</v>
      </c>
    </row>
    <row r="126" spans="1:22" x14ac:dyDescent="0.3">
      <c r="A126" s="2">
        <v>125</v>
      </c>
      <c r="B126" s="1">
        <v>45782</v>
      </c>
      <c r="C126" s="2" t="s">
        <v>17</v>
      </c>
      <c r="D126">
        <v>342</v>
      </c>
      <c r="E126">
        <v>1287</v>
      </c>
      <c r="F126">
        <v>2277</v>
      </c>
      <c r="G126">
        <v>1329</v>
      </c>
      <c r="H126">
        <v>2441</v>
      </c>
      <c r="I126">
        <v>0.56957503799999998</v>
      </c>
      <c r="J126">
        <v>0.92185993200000005</v>
      </c>
      <c r="K126">
        <v>1243</v>
      </c>
      <c r="L126">
        <v>234</v>
      </c>
      <c r="M126" s="2">
        <v>2</v>
      </c>
      <c r="N126">
        <v>1.1137643420000001</v>
      </c>
      <c r="O126">
        <v>0.92787226</v>
      </c>
      <c r="P126" t="b">
        <v>0</v>
      </c>
      <c r="Q126">
        <v>4.8242027999999999E-2</v>
      </c>
      <c r="R126" s="2">
        <v>1</v>
      </c>
      <c r="S126" s="2" t="str">
        <f t="shared" si="5"/>
        <v>May</v>
      </c>
      <c r="T126">
        <f t="shared" si="6"/>
        <v>2025</v>
      </c>
      <c r="U126" s="2" t="str">
        <f t="shared" si="7"/>
        <v>Q2</v>
      </c>
      <c r="V126" t="str">
        <f t="shared" si="8"/>
        <v>Completed</v>
      </c>
    </row>
    <row r="127" spans="1:22" x14ac:dyDescent="0.3">
      <c r="A127" s="2">
        <v>126</v>
      </c>
      <c r="B127" s="1">
        <v>45783</v>
      </c>
      <c r="C127" s="2" t="s">
        <v>18</v>
      </c>
      <c r="D127">
        <v>3108</v>
      </c>
      <c r="E127">
        <v>1675</v>
      </c>
      <c r="F127">
        <v>430</v>
      </c>
      <c r="G127">
        <v>4768</v>
      </c>
      <c r="H127">
        <v>903</v>
      </c>
      <c r="I127">
        <v>0.72273145299999997</v>
      </c>
      <c r="J127">
        <v>2.1627657610000002</v>
      </c>
      <c r="K127">
        <v>3923</v>
      </c>
      <c r="L127">
        <v>3108</v>
      </c>
      <c r="M127" s="2">
        <v>3</v>
      </c>
      <c r="N127">
        <v>0.91565773399999995</v>
      </c>
      <c r="O127">
        <v>0.87941272000000004</v>
      </c>
      <c r="P127" t="b">
        <v>0</v>
      </c>
      <c r="Q127">
        <v>0.61365494700000001</v>
      </c>
      <c r="R127" s="2">
        <v>0</v>
      </c>
      <c r="S127" s="2" t="str">
        <f t="shared" si="5"/>
        <v>May</v>
      </c>
      <c r="T127">
        <f t="shared" si="6"/>
        <v>2025</v>
      </c>
      <c r="U127" s="2" t="str">
        <f t="shared" si="7"/>
        <v>Q2</v>
      </c>
      <c r="V127" t="str">
        <f t="shared" si="8"/>
        <v>Completed</v>
      </c>
    </row>
    <row r="128" spans="1:22" x14ac:dyDescent="0.3">
      <c r="A128" s="2">
        <v>127</v>
      </c>
      <c r="B128" s="1">
        <v>45784</v>
      </c>
      <c r="C128" s="2" t="s">
        <v>16</v>
      </c>
      <c r="D128">
        <v>3740</v>
      </c>
      <c r="E128">
        <v>584</v>
      </c>
      <c r="F128">
        <v>3353</v>
      </c>
      <c r="G128">
        <v>308</v>
      </c>
      <c r="H128">
        <v>3548</v>
      </c>
      <c r="I128">
        <v>0.74532697199999998</v>
      </c>
      <c r="J128">
        <v>1.5498882009999999</v>
      </c>
      <c r="K128">
        <v>4635</v>
      </c>
      <c r="L128">
        <v>2996</v>
      </c>
      <c r="M128" s="2">
        <v>1</v>
      </c>
      <c r="N128">
        <v>1.7359854729999999</v>
      </c>
      <c r="O128">
        <v>0.905405656</v>
      </c>
      <c r="P128" t="b">
        <v>0</v>
      </c>
      <c r="Q128">
        <v>0.74284546200000001</v>
      </c>
      <c r="R128" s="2">
        <v>1</v>
      </c>
      <c r="S128" s="2" t="str">
        <f t="shared" si="5"/>
        <v>May</v>
      </c>
      <c r="T128">
        <f t="shared" si="6"/>
        <v>2025</v>
      </c>
      <c r="U128" s="2" t="str">
        <f t="shared" si="7"/>
        <v>Q2</v>
      </c>
      <c r="V128" t="str">
        <f t="shared" si="8"/>
        <v>Failed</v>
      </c>
    </row>
    <row r="129" spans="1:22" x14ac:dyDescent="0.3">
      <c r="A129" s="2">
        <v>128</v>
      </c>
      <c r="B129" s="1">
        <v>45785</v>
      </c>
      <c r="C129" s="2" t="s">
        <v>5</v>
      </c>
      <c r="D129">
        <v>212</v>
      </c>
      <c r="E129">
        <v>3778</v>
      </c>
      <c r="F129">
        <v>1704</v>
      </c>
      <c r="G129">
        <v>1756</v>
      </c>
      <c r="H129">
        <v>380</v>
      </c>
      <c r="I129">
        <v>0.77774579399999999</v>
      </c>
      <c r="J129">
        <v>1.8124596449999999</v>
      </c>
      <c r="K129">
        <v>1052</v>
      </c>
      <c r="L129">
        <v>1860</v>
      </c>
      <c r="M129" s="2">
        <v>2</v>
      </c>
      <c r="N129">
        <v>1.7219778080000001</v>
      </c>
      <c r="O129">
        <v>0.91113201799999999</v>
      </c>
      <c r="P129" t="b">
        <v>0</v>
      </c>
      <c r="Q129">
        <v>2.1668028999999998E-2</v>
      </c>
      <c r="R129" s="2">
        <v>0</v>
      </c>
      <c r="S129" s="2" t="str">
        <f t="shared" si="5"/>
        <v>May</v>
      </c>
      <c r="T129">
        <f t="shared" si="6"/>
        <v>2025</v>
      </c>
      <c r="U129" s="2" t="str">
        <f t="shared" si="7"/>
        <v>Q2</v>
      </c>
      <c r="V129" t="str">
        <f t="shared" si="8"/>
        <v>Completed</v>
      </c>
    </row>
    <row r="130" spans="1:22" x14ac:dyDescent="0.3">
      <c r="A130" s="2">
        <v>129</v>
      </c>
      <c r="B130" s="1">
        <v>45786</v>
      </c>
      <c r="C130" s="2" t="s">
        <v>17</v>
      </c>
      <c r="D130">
        <v>2091</v>
      </c>
      <c r="E130">
        <v>4136</v>
      </c>
      <c r="F130">
        <v>2693</v>
      </c>
      <c r="G130">
        <v>1553</v>
      </c>
      <c r="H130">
        <v>104</v>
      </c>
      <c r="I130">
        <v>0.373204066</v>
      </c>
      <c r="J130">
        <v>0.92374942999999998</v>
      </c>
      <c r="K130">
        <v>4022</v>
      </c>
      <c r="L130">
        <v>3784</v>
      </c>
      <c r="M130" s="2">
        <v>4</v>
      </c>
      <c r="N130">
        <v>1.2374006799999999</v>
      </c>
      <c r="O130">
        <v>0.86134999499999998</v>
      </c>
      <c r="P130" t="b">
        <v>0</v>
      </c>
      <c r="Q130">
        <v>0.40576451299999999</v>
      </c>
      <c r="R130" s="2">
        <v>1</v>
      </c>
      <c r="S130" s="2" t="str">
        <f t="shared" ref="S130:S193" si="9">TEXT(B130,"MMM")</f>
        <v>May</v>
      </c>
      <c r="T130">
        <f t="shared" ref="T130:T193" si="10">YEAR(B130)</f>
        <v>2025</v>
      </c>
      <c r="U130" s="2" t="str">
        <f t="shared" si="7"/>
        <v>Q2</v>
      </c>
      <c r="V130" t="str">
        <f t="shared" si="8"/>
        <v>Failed</v>
      </c>
    </row>
    <row r="131" spans="1:22" x14ac:dyDescent="0.3">
      <c r="A131" s="2">
        <v>130</v>
      </c>
      <c r="B131" s="1">
        <v>45787</v>
      </c>
      <c r="C131" s="2" t="s">
        <v>16</v>
      </c>
      <c r="D131">
        <v>1191</v>
      </c>
      <c r="E131">
        <v>1666</v>
      </c>
      <c r="F131">
        <v>551</v>
      </c>
      <c r="G131">
        <v>2634</v>
      </c>
      <c r="H131">
        <v>611</v>
      </c>
      <c r="I131">
        <v>0.437266082</v>
      </c>
      <c r="J131">
        <v>2.9714971549999998</v>
      </c>
      <c r="K131">
        <v>2863</v>
      </c>
      <c r="L131">
        <v>3930</v>
      </c>
      <c r="M131" s="2">
        <v>4</v>
      </c>
      <c r="N131">
        <v>1.6465493010000001</v>
      </c>
      <c r="O131">
        <v>0.96245386200000005</v>
      </c>
      <c r="P131" t="b">
        <v>0</v>
      </c>
      <c r="Q131">
        <v>0.22179067899999999</v>
      </c>
      <c r="R131" s="2">
        <v>1</v>
      </c>
      <c r="S131" s="2" t="str">
        <f t="shared" si="9"/>
        <v>May</v>
      </c>
      <c r="T131">
        <f t="shared" si="10"/>
        <v>2025</v>
      </c>
      <c r="U131" s="2" t="str">
        <f t="shared" ref="U131:U194" si="11">"Q"&amp;ROUNDUP(MONTH(B131)/3,0)</f>
        <v>Q2</v>
      </c>
      <c r="V131" t="str">
        <f t="shared" si="8"/>
        <v>Completed</v>
      </c>
    </row>
    <row r="132" spans="1:22" x14ac:dyDescent="0.3">
      <c r="A132" s="2">
        <v>131</v>
      </c>
      <c r="B132" s="1">
        <v>45788</v>
      </c>
      <c r="C132" s="2" t="s">
        <v>17</v>
      </c>
      <c r="D132">
        <v>2067</v>
      </c>
      <c r="E132">
        <v>768</v>
      </c>
      <c r="F132">
        <v>637</v>
      </c>
      <c r="G132">
        <v>3049</v>
      </c>
      <c r="H132">
        <v>254</v>
      </c>
      <c r="I132">
        <v>0.42760445899999999</v>
      </c>
      <c r="J132">
        <v>2.2597226080000001</v>
      </c>
      <c r="K132">
        <v>4207</v>
      </c>
      <c r="L132">
        <v>631</v>
      </c>
      <c r="M132" s="2">
        <v>4</v>
      </c>
      <c r="N132">
        <v>1.9173483549999999</v>
      </c>
      <c r="O132">
        <v>0.96810829700000001</v>
      </c>
      <c r="P132" t="b">
        <v>0</v>
      </c>
      <c r="Q132">
        <v>0.40085854500000001</v>
      </c>
      <c r="R132" s="2">
        <v>1</v>
      </c>
      <c r="S132" s="2" t="str">
        <f t="shared" si="9"/>
        <v>May</v>
      </c>
      <c r="T132">
        <f t="shared" si="10"/>
        <v>2025</v>
      </c>
      <c r="U132" s="2" t="str">
        <f t="shared" si="11"/>
        <v>Q2</v>
      </c>
      <c r="V132" t="str">
        <f t="shared" ref="V132:V195" si="12">IF(R131=1,"Completed","Failed")</f>
        <v>Completed</v>
      </c>
    </row>
    <row r="133" spans="1:22" x14ac:dyDescent="0.3">
      <c r="A133" s="2">
        <v>132</v>
      </c>
      <c r="B133" s="1">
        <v>45789</v>
      </c>
      <c r="C133" s="2" t="s">
        <v>18</v>
      </c>
      <c r="D133">
        <v>1658</v>
      </c>
      <c r="E133">
        <v>1690</v>
      </c>
      <c r="F133">
        <v>3798</v>
      </c>
      <c r="G133">
        <v>2019</v>
      </c>
      <c r="H133">
        <v>716</v>
      </c>
      <c r="I133">
        <v>0.783898278</v>
      </c>
      <c r="J133">
        <v>0.73031800700000005</v>
      </c>
      <c r="K133">
        <v>3104</v>
      </c>
      <c r="L133">
        <v>3199</v>
      </c>
      <c r="M133" s="2">
        <v>9</v>
      </c>
      <c r="N133">
        <v>1.1046219880000001</v>
      </c>
      <c r="O133">
        <v>0.92732164699999997</v>
      </c>
      <c r="P133" t="b">
        <v>0</v>
      </c>
      <c r="Q133">
        <v>0.31725265699999999</v>
      </c>
      <c r="R133" s="2">
        <v>1</v>
      </c>
      <c r="S133" s="2" t="str">
        <f t="shared" si="9"/>
        <v>May</v>
      </c>
      <c r="T133">
        <f t="shared" si="10"/>
        <v>2025</v>
      </c>
      <c r="U133" s="2" t="str">
        <f t="shared" si="11"/>
        <v>Q2</v>
      </c>
      <c r="V133" t="str">
        <f t="shared" si="12"/>
        <v>Completed</v>
      </c>
    </row>
    <row r="134" spans="1:22" x14ac:dyDescent="0.3">
      <c r="A134" s="2">
        <v>133</v>
      </c>
      <c r="B134" s="1">
        <v>45790</v>
      </c>
      <c r="C134" s="2" t="s">
        <v>16</v>
      </c>
      <c r="D134">
        <v>2959</v>
      </c>
      <c r="E134">
        <v>981</v>
      </c>
      <c r="F134">
        <v>3540</v>
      </c>
      <c r="G134">
        <v>4174</v>
      </c>
      <c r="H134">
        <v>1913</v>
      </c>
      <c r="I134">
        <v>0.270147044</v>
      </c>
      <c r="J134">
        <v>2.2341116630000002</v>
      </c>
      <c r="K134">
        <v>3747</v>
      </c>
      <c r="L134">
        <v>1101</v>
      </c>
      <c r="M134" s="2">
        <v>1</v>
      </c>
      <c r="N134">
        <v>1.8047898469999999</v>
      </c>
      <c r="O134">
        <v>0.98436715399999997</v>
      </c>
      <c r="P134" t="b">
        <v>0</v>
      </c>
      <c r="Q134">
        <v>0.58319705600000005</v>
      </c>
      <c r="R134" s="2">
        <v>1</v>
      </c>
      <c r="S134" s="2" t="str">
        <f t="shared" si="9"/>
        <v>May</v>
      </c>
      <c r="T134">
        <f t="shared" si="10"/>
        <v>2025</v>
      </c>
      <c r="U134" s="2" t="str">
        <f t="shared" si="11"/>
        <v>Q2</v>
      </c>
      <c r="V134" t="str">
        <f t="shared" si="12"/>
        <v>Completed</v>
      </c>
    </row>
    <row r="135" spans="1:22" x14ac:dyDescent="0.3">
      <c r="A135" s="2">
        <v>134</v>
      </c>
      <c r="B135" s="1">
        <v>45791</v>
      </c>
      <c r="C135" s="2" t="s">
        <v>5</v>
      </c>
      <c r="D135">
        <v>3117</v>
      </c>
      <c r="E135">
        <v>1329</v>
      </c>
      <c r="F135">
        <v>2675</v>
      </c>
      <c r="G135">
        <v>965</v>
      </c>
      <c r="H135">
        <v>104</v>
      </c>
      <c r="I135">
        <v>0.42144030999999998</v>
      </c>
      <c r="J135">
        <v>2.5535926560000002</v>
      </c>
      <c r="K135">
        <v>1224</v>
      </c>
      <c r="L135">
        <v>1904</v>
      </c>
      <c r="M135" s="2">
        <v>7</v>
      </c>
      <c r="N135">
        <v>1.475893498</v>
      </c>
      <c r="O135">
        <v>0.86833839099999999</v>
      </c>
      <c r="P135" t="b">
        <v>0</v>
      </c>
      <c r="Q135">
        <v>0.61549468500000004</v>
      </c>
      <c r="R135" s="2">
        <v>1</v>
      </c>
      <c r="S135" s="2" t="str">
        <f t="shared" si="9"/>
        <v>May</v>
      </c>
      <c r="T135">
        <f t="shared" si="10"/>
        <v>2025</v>
      </c>
      <c r="U135" s="2" t="str">
        <f t="shared" si="11"/>
        <v>Q2</v>
      </c>
      <c r="V135" t="str">
        <f t="shared" si="12"/>
        <v>Completed</v>
      </c>
    </row>
    <row r="136" spans="1:22" x14ac:dyDescent="0.3">
      <c r="A136" s="2">
        <v>135</v>
      </c>
      <c r="B136" s="1">
        <v>45792</v>
      </c>
      <c r="C136" s="2" t="s">
        <v>18</v>
      </c>
      <c r="D136">
        <v>4709</v>
      </c>
      <c r="E136">
        <v>641</v>
      </c>
      <c r="F136">
        <v>1729</v>
      </c>
      <c r="G136">
        <v>4285</v>
      </c>
      <c r="H136">
        <v>1226</v>
      </c>
      <c r="I136">
        <v>0.56095430599999996</v>
      </c>
      <c r="J136">
        <v>1.607110013</v>
      </c>
      <c r="K136">
        <v>442</v>
      </c>
      <c r="L136">
        <v>3839</v>
      </c>
      <c r="M136" s="2">
        <v>8</v>
      </c>
      <c r="N136">
        <v>1.0407336460000001</v>
      </c>
      <c r="O136">
        <v>0.89115305199999995</v>
      </c>
      <c r="P136" t="b">
        <v>0</v>
      </c>
      <c r="Q136">
        <v>0.94092395699999998</v>
      </c>
      <c r="R136" s="2">
        <v>1</v>
      </c>
      <c r="S136" s="2" t="str">
        <f t="shared" si="9"/>
        <v>May</v>
      </c>
      <c r="T136">
        <f t="shared" si="10"/>
        <v>2025</v>
      </c>
      <c r="U136" s="2" t="str">
        <f t="shared" si="11"/>
        <v>Q2</v>
      </c>
      <c r="V136" t="str">
        <f t="shared" si="12"/>
        <v>Completed</v>
      </c>
    </row>
    <row r="137" spans="1:22" x14ac:dyDescent="0.3">
      <c r="A137" s="2">
        <v>136</v>
      </c>
      <c r="B137" s="1">
        <v>45793</v>
      </c>
      <c r="C137" s="2" t="s">
        <v>5</v>
      </c>
      <c r="D137">
        <v>1720</v>
      </c>
      <c r="E137">
        <v>3560</v>
      </c>
      <c r="F137">
        <v>2149</v>
      </c>
      <c r="G137">
        <v>4818</v>
      </c>
      <c r="H137">
        <v>3179</v>
      </c>
      <c r="I137">
        <v>0.30136296400000001</v>
      </c>
      <c r="J137">
        <v>1.0448650079999999</v>
      </c>
      <c r="K137">
        <v>3996</v>
      </c>
      <c r="L137">
        <v>1076</v>
      </c>
      <c r="M137" s="2">
        <v>4</v>
      </c>
      <c r="N137">
        <v>0.92033794099999999</v>
      </c>
      <c r="O137">
        <v>0.94314341599999996</v>
      </c>
      <c r="P137" t="b">
        <v>0</v>
      </c>
      <c r="Q137">
        <v>0.32992641</v>
      </c>
      <c r="R137" s="2">
        <v>1</v>
      </c>
      <c r="S137" s="2" t="str">
        <f t="shared" si="9"/>
        <v>May</v>
      </c>
      <c r="T137">
        <f t="shared" si="10"/>
        <v>2025</v>
      </c>
      <c r="U137" s="2" t="str">
        <f t="shared" si="11"/>
        <v>Q2</v>
      </c>
      <c r="V137" t="str">
        <f t="shared" si="12"/>
        <v>Completed</v>
      </c>
    </row>
    <row r="138" spans="1:22" x14ac:dyDescent="0.3">
      <c r="A138" s="2">
        <v>137</v>
      </c>
      <c r="B138" s="1">
        <v>45794</v>
      </c>
      <c r="C138" s="2" t="s">
        <v>5</v>
      </c>
      <c r="D138">
        <v>1147</v>
      </c>
      <c r="E138">
        <v>3032</v>
      </c>
      <c r="F138">
        <v>3219</v>
      </c>
      <c r="G138">
        <v>2222</v>
      </c>
      <c r="H138">
        <v>203</v>
      </c>
      <c r="I138">
        <v>0.54163091900000004</v>
      </c>
      <c r="J138">
        <v>1.0745317190000001</v>
      </c>
      <c r="K138">
        <v>1778</v>
      </c>
      <c r="L138">
        <v>107</v>
      </c>
      <c r="M138" s="2">
        <v>2</v>
      </c>
      <c r="N138">
        <v>0.57381658999999996</v>
      </c>
      <c r="O138">
        <v>0.90377893099999995</v>
      </c>
      <c r="P138" t="b">
        <v>0</v>
      </c>
      <c r="Q138">
        <v>0.212796402</v>
      </c>
      <c r="R138" s="2">
        <v>1</v>
      </c>
      <c r="S138" s="2" t="str">
        <f t="shared" si="9"/>
        <v>May</v>
      </c>
      <c r="T138">
        <f t="shared" si="10"/>
        <v>2025</v>
      </c>
      <c r="U138" s="2" t="str">
        <f t="shared" si="11"/>
        <v>Q2</v>
      </c>
      <c r="V138" t="str">
        <f t="shared" si="12"/>
        <v>Completed</v>
      </c>
    </row>
    <row r="139" spans="1:22" x14ac:dyDescent="0.3">
      <c r="A139" s="2">
        <v>138</v>
      </c>
      <c r="B139" s="1">
        <v>45795</v>
      </c>
      <c r="C139" s="2" t="s">
        <v>18</v>
      </c>
      <c r="D139">
        <v>506</v>
      </c>
      <c r="E139">
        <v>2832</v>
      </c>
      <c r="F139">
        <v>1636</v>
      </c>
      <c r="G139">
        <v>347</v>
      </c>
      <c r="H139">
        <v>3371</v>
      </c>
      <c r="I139">
        <v>0.47522244600000002</v>
      </c>
      <c r="J139">
        <v>2.6317870019999998</v>
      </c>
      <c r="K139">
        <v>4351</v>
      </c>
      <c r="L139">
        <v>1695</v>
      </c>
      <c r="M139" s="2">
        <v>5</v>
      </c>
      <c r="N139">
        <v>0.92683822400000004</v>
      </c>
      <c r="O139">
        <v>0.81291133299999996</v>
      </c>
      <c r="P139" t="b">
        <v>0</v>
      </c>
      <c r="Q139">
        <v>8.1766148999999996E-2</v>
      </c>
      <c r="R139" s="2">
        <v>1</v>
      </c>
      <c r="S139" s="2" t="str">
        <f t="shared" si="9"/>
        <v>May</v>
      </c>
      <c r="T139">
        <f t="shared" si="10"/>
        <v>2025</v>
      </c>
      <c r="U139" s="2" t="str">
        <f t="shared" si="11"/>
        <v>Q2</v>
      </c>
      <c r="V139" t="str">
        <f t="shared" si="12"/>
        <v>Completed</v>
      </c>
    </row>
    <row r="140" spans="1:22" x14ac:dyDescent="0.3">
      <c r="A140" s="2">
        <v>139</v>
      </c>
      <c r="B140" s="1">
        <v>45796</v>
      </c>
      <c r="C140" s="2" t="s">
        <v>17</v>
      </c>
      <c r="D140">
        <v>179</v>
      </c>
      <c r="E140">
        <v>3934</v>
      </c>
      <c r="F140">
        <v>2094</v>
      </c>
      <c r="G140">
        <v>2050</v>
      </c>
      <c r="H140">
        <v>2935</v>
      </c>
      <c r="I140">
        <v>0.79559569399999996</v>
      </c>
      <c r="J140">
        <v>1.0197058489999999</v>
      </c>
      <c r="K140">
        <v>2588</v>
      </c>
      <c r="L140">
        <v>1956</v>
      </c>
      <c r="M140" s="2">
        <v>8</v>
      </c>
      <c r="N140">
        <v>1.00227142</v>
      </c>
      <c r="O140">
        <v>0.88607306600000002</v>
      </c>
      <c r="P140" t="b">
        <v>0</v>
      </c>
      <c r="Q140">
        <v>1.4922322E-2</v>
      </c>
      <c r="R140" s="2">
        <v>1</v>
      </c>
      <c r="S140" s="2" t="str">
        <f t="shared" si="9"/>
        <v>May</v>
      </c>
      <c r="T140">
        <f t="shared" si="10"/>
        <v>2025</v>
      </c>
      <c r="U140" s="2" t="str">
        <f t="shared" si="11"/>
        <v>Q2</v>
      </c>
      <c r="V140" t="str">
        <f t="shared" si="12"/>
        <v>Completed</v>
      </c>
    </row>
    <row r="141" spans="1:22" x14ac:dyDescent="0.3">
      <c r="A141" s="2">
        <v>140</v>
      </c>
      <c r="B141" s="1">
        <v>45797</v>
      </c>
      <c r="C141" s="2" t="s">
        <v>18</v>
      </c>
      <c r="D141">
        <v>4626</v>
      </c>
      <c r="E141">
        <v>2430</v>
      </c>
      <c r="F141">
        <v>803</v>
      </c>
      <c r="G141">
        <v>3365</v>
      </c>
      <c r="H141">
        <v>344</v>
      </c>
      <c r="I141">
        <v>0.22257073999999999</v>
      </c>
      <c r="J141">
        <v>2.2263940180000001</v>
      </c>
      <c r="K141">
        <v>3302</v>
      </c>
      <c r="L141">
        <v>2932</v>
      </c>
      <c r="M141" s="2">
        <v>2</v>
      </c>
      <c r="N141">
        <v>0.92826912299999997</v>
      </c>
      <c r="O141">
        <v>0.83369385600000001</v>
      </c>
      <c r="P141" t="b">
        <v>0</v>
      </c>
      <c r="Q141">
        <v>0.92395748200000005</v>
      </c>
      <c r="R141" s="2">
        <v>1</v>
      </c>
      <c r="S141" s="2" t="str">
        <f t="shared" si="9"/>
        <v>May</v>
      </c>
      <c r="T141">
        <f t="shared" si="10"/>
        <v>2025</v>
      </c>
      <c r="U141" s="2" t="str">
        <f t="shared" si="11"/>
        <v>Q2</v>
      </c>
      <c r="V141" t="str">
        <f t="shared" si="12"/>
        <v>Completed</v>
      </c>
    </row>
    <row r="142" spans="1:22" x14ac:dyDescent="0.3">
      <c r="A142" s="2">
        <v>141</v>
      </c>
      <c r="B142" s="1">
        <v>45798</v>
      </c>
      <c r="C142" s="2" t="s">
        <v>17</v>
      </c>
      <c r="D142">
        <v>4369</v>
      </c>
      <c r="E142">
        <v>3924</v>
      </c>
      <c r="F142">
        <v>2050</v>
      </c>
      <c r="G142">
        <v>2556</v>
      </c>
      <c r="H142">
        <v>129</v>
      </c>
      <c r="I142">
        <v>0.59833610199999998</v>
      </c>
      <c r="J142">
        <v>1.065487458</v>
      </c>
      <c r="K142">
        <v>4533</v>
      </c>
      <c r="L142">
        <v>3658</v>
      </c>
      <c r="M142" s="2">
        <v>2</v>
      </c>
      <c r="N142">
        <v>1.9005280179999999</v>
      </c>
      <c r="O142">
        <v>0.95933762099999997</v>
      </c>
      <c r="P142" t="b">
        <v>0</v>
      </c>
      <c r="Q142">
        <v>0.87142273100000001</v>
      </c>
      <c r="R142" s="2">
        <v>1</v>
      </c>
      <c r="S142" s="2" t="str">
        <f t="shared" si="9"/>
        <v>May</v>
      </c>
      <c r="T142">
        <f t="shared" si="10"/>
        <v>2025</v>
      </c>
      <c r="U142" s="2" t="str">
        <f t="shared" si="11"/>
        <v>Q2</v>
      </c>
      <c r="V142" t="str">
        <f t="shared" si="12"/>
        <v>Completed</v>
      </c>
    </row>
    <row r="143" spans="1:22" x14ac:dyDescent="0.3">
      <c r="A143" s="2">
        <v>142</v>
      </c>
      <c r="B143" s="1">
        <v>45799</v>
      </c>
      <c r="C143" s="2" t="s">
        <v>16</v>
      </c>
      <c r="D143">
        <v>4067</v>
      </c>
      <c r="E143">
        <v>614</v>
      </c>
      <c r="F143">
        <v>2717</v>
      </c>
      <c r="G143">
        <v>2649</v>
      </c>
      <c r="H143">
        <v>2360</v>
      </c>
      <c r="I143">
        <v>0.228372826</v>
      </c>
      <c r="J143">
        <v>2.6978512490000002</v>
      </c>
      <c r="K143">
        <v>4540</v>
      </c>
      <c r="L143">
        <v>2859</v>
      </c>
      <c r="M143" s="2">
        <v>9</v>
      </c>
      <c r="N143">
        <v>0.65746486999999998</v>
      </c>
      <c r="O143">
        <v>0.94525810899999996</v>
      </c>
      <c r="P143" t="b">
        <v>0</v>
      </c>
      <c r="Q143">
        <v>0.80968928900000003</v>
      </c>
      <c r="R143" s="2">
        <v>1</v>
      </c>
      <c r="S143" s="2" t="str">
        <f t="shared" si="9"/>
        <v>May</v>
      </c>
      <c r="T143">
        <f t="shared" si="10"/>
        <v>2025</v>
      </c>
      <c r="U143" s="2" t="str">
        <f t="shared" si="11"/>
        <v>Q2</v>
      </c>
      <c r="V143" t="str">
        <f t="shared" si="12"/>
        <v>Completed</v>
      </c>
    </row>
    <row r="144" spans="1:22" x14ac:dyDescent="0.3">
      <c r="A144" s="2">
        <v>143</v>
      </c>
      <c r="B144" s="1">
        <v>45800</v>
      </c>
      <c r="C144" s="2" t="s">
        <v>5</v>
      </c>
      <c r="D144">
        <v>3756</v>
      </c>
      <c r="E144">
        <v>1405</v>
      </c>
      <c r="F144">
        <v>2780</v>
      </c>
      <c r="G144">
        <v>2201</v>
      </c>
      <c r="H144">
        <v>316</v>
      </c>
      <c r="I144">
        <v>0.69687339100000001</v>
      </c>
      <c r="J144">
        <v>2.921015148</v>
      </c>
      <c r="K144">
        <v>4698</v>
      </c>
      <c r="L144">
        <v>1220</v>
      </c>
      <c r="M144" s="2">
        <v>2</v>
      </c>
      <c r="N144">
        <v>0.982543414</v>
      </c>
      <c r="O144">
        <v>0.89470226500000005</v>
      </c>
      <c r="P144" t="b">
        <v>0</v>
      </c>
      <c r="Q144">
        <v>0.74611610799999994</v>
      </c>
      <c r="R144" s="2">
        <v>1</v>
      </c>
      <c r="S144" s="2" t="str">
        <f t="shared" si="9"/>
        <v>May</v>
      </c>
      <c r="T144">
        <f t="shared" si="10"/>
        <v>2025</v>
      </c>
      <c r="U144" s="2" t="str">
        <f t="shared" si="11"/>
        <v>Q2</v>
      </c>
      <c r="V144" t="str">
        <f t="shared" si="12"/>
        <v>Completed</v>
      </c>
    </row>
    <row r="145" spans="1:22" x14ac:dyDescent="0.3">
      <c r="A145" s="2">
        <v>144</v>
      </c>
      <c r="B145" s="1">
        <v>45801</v>
      </c>
      <c r="C145" s="2" t="s">
        <v>16</v>
      </c>
      <c r="D145">
        <v>351</v>
      </c>
      <c r="E145">
        <v>734</v>
      </c>
      <c r="F145">
        <v>1904</v>
      </c>
      <c r="G145">
        <v>4813</v>
      </c>
      <c r="H145">
        <v>2526</v>
      </c>
      <c r="I145">
        <v>0.29129231</v>
      </c>
      <c r="J145">
        <v>2.0219875759999999</v>
      </c>
      <c r="K145">
        <v>2176</v>
      </c>
      <c r="L145">
        <v>2239</v>
      </c>
      <c r="M145" s="2">
        <v>8</v>
      </c>
      <c r="N145">
        <v>0.577633328</v>
      </c>
      <c r="O145">
        <v>0.97770418000000003</v>
      </c>
      <c r="P145" t="b">
        <v>0</v>
      </c>
      <c r="Q145">
        <v>5.0081766E-2</v>
      </c>
      <c r="R145" s="2">
        <v>1</v>
      </c>
      <c r="S145" s="2" t="str">
        <f t="shared" si="9"/>
        <v>May</v>
      </c>
      <c r="T145">
        <f t="shared" si="10"/>
        <v>2025</v>
      </c>
      <c r="U145" s="2" t="str">
        <f t="shared" si="11"/>
        <v>Q2</v>
      </c>
      <c r="V145" t="str">
        <f t="shared" si="12"/>
        <v>Completed</v>
      </c>
    </row>
    <row r="146" spans="1:22" x14ac:dyDescent="0.3">
      <c r="A146" s="2">
        <v>145</v>
      </c>
      <c r="B146" s="1">
        <v>45802</v>
      </c>
      <c r="C146" s="2" t="s">
        <v>18</v>
      </c>
      <c r="D146">
        <v>3528</v>
      </c>
      <c r="E146">
        <v>1809</v>
      </c>
      <c r="F146">
        <v>3892</v>
      </c>
      <c r="G146">
        <v>4879</v>
      </c>
      <c r="H146">
        <v>2275</v>
      </c>
      <c r="I146">
        <v>0.64017213299999998</v>
      </c>
      <c r="J146">
        <v>2.232007641</v>
      </c>
      <c r="K146">
        <v>3606</v>
      </c>
      <c r="L146">
        <v>2869</v>
      </c>
      <c r="M146" s="2">
        <v>7</v>
      </c>
      <c r="N146">
        <v>1.945064474</v>
      </c>
      <c r="O146">
        <v>0.97928020500000001</v>
      </c>
      <c r="P146" t="b">
        <v>0</v>
      </c>
      <c r="Q146">
        <v>0.69950940299999997</v>
      </c>
      <c r="R146" s="2">
        <v>1</v>
      </c>
      <c r="S146" s="2" t="str">
        <f t="shared" si="9"/>
        <v>May</v>
      </c>
      <c r="T146">
        <f t="shared" si="10"/>
        <v>2025</v>
      </c>
      <c r="U146" s="2" t="str">
        <f t="shared" si="11"/>
        <v>Q2</v>
      </c>
      <c r="V146" t="str">
        <f t="shared" si="12"/>
        <v>Completed</v>
      </c>
    </row>
    <row r="147" spans="1:22" x14ac:dyDescent="0.3">
      <c r="A147" s="2">
        <v>146</v>
      </c>
      <c r="B147" s="1">
        <v>45803</v>
      </c>
      <c r="C147" s="2" t="s">
        <v>5</v>
      </c>
      <c r="D147">
        <v>443</v>
      </c>
      <c r="E147">
        <v>3139</v>
      </c>
      <c r="F147">
        <v>2101</v>
      </c>
      <c r="G147">
        <v>4629</v>
      </c>
      <c r="H147">
        <v>1735</v>
      </c>
      <c r="I147">
        <v>0.60696989300000004</v>
      </c>
      <c r="J147">
        <v>1.848611394</v>
      </c>
      <c r="K147">
        <v>3607</v>
      </c>
      <c r="L147">
        <v>3125</v>
      </c>
      <c r="M147" s="2">
        <v>3</v>
      </c>
      <c r="N147">
        <v>1.0364004490000001</v>
      </c>
      <c r="O147">
        <v>0.82463539200000002</v>
      </c>
      <c r="P147" t="b">
        <v>1</v>
      </c>
      <c r="Q147">
        <v>6.8887980000000001E-2</v>
      </c>
      <c r="R147" s="2">
        <v>0</v>
      </c>
      <c r="S147" s="2" t="str">
        <f t="shared" si="9"/>
        <v>May</v>
      </c>
      <c r="T147">
        <f t="shared" si="10"/>
        <v>2025</v>
      </c>
      <c r="U147" s="2" t="str">
        <f t="shared" si="11"/>
        <v>Q2</v>
      </c>
      <c r="V147" t="str">
        <f t="shared" si="12"/>
        <v>Completed</v>
      </c>
    </row>
    <row r="148" spans="1:22" x14ac:dyDescent="0.3">
      <c r="A148" s="2">
        <v>147</v>
      </c>
      <c r="B148" s="1">
        <v>45804</v>
      </c>
      <c r="C148" s="2" t="s">
        <v>18</v>
      </c>
      <c r="D148">
        <v>3731</v>
      </c>
      <c r="E148">
        <v>4479</v>
      </c>
      <c r="F148">
        <v>1046</v>
      </c>
      <c r="G148">
        <v>1252</v>
      </c>
      <c r="H148">
        <v>698</v>
      </c>
      <c r="I148">
        <v>0.64242722100000005</v>
      </c>
      <c r="J148">
        <v>2.2633268740000001</v>
      </c>
      <c r="K148">
        <v>2932</v>
      </c>
      <c r="L148">
        <v>1547</v>
      </c>
      <c r="M148" s="2">
        <v>2</v>
      </c>
      <c r="N148">
        <v>0.58013606900000003</v>
      </c>
      <c r="O148">
        <v>0.95241662999999999</v>
      </c>
      <c r="P148" t="b">
        <v>0</v>
      </c>
      <c r="Q148">
        <v>0.74100572399999998</v>
      </c>
      <c r="R148" s="2">
        <v>1</v>
      </c>
      <c r="S148" s="2" t="str">
        <f t="shared" si="9"/>
        <v>May</v>
      </c>
      <c r="T148">
        <f t="shared" si="10"/>
        <v>2025</v>
      </c>
      <c r="U148" s="2" t="str">
        <f t="shared" si="11"/>
        <v>Q2</v>
      </c>
      <c r="V148" t="str">
        <f t="shared" si="12"/>
        <v>Failed</v>
      </c>
    </row>
    <row r="149" spans="1:22" x14ac:dyDescent="0.3">
      <c r="A149" s="2">
        <v>148</v>
      </c>
      <c r="B149" s="1">
        <v>45805</v>
      </c>
      <c r="C149" s="2" t="s">
        <v>16</v>
      </c>
      <c r="D149">
        <v>2310</v>
      </c>
      <c r="E149">
        <v>4024</v>
      </c>
      <c r="F149">
        <v>2678</v>
      </c>
      <c r="G149">
        <v>1199</v>
      </c>
      <c r="H149">
        <v>2654</v>
      </c>
      <c r="I149">
        <v>0.241943558</v>
      </c>
      <c r="J149">
        <v>1.7517979290000001</v>
      </c>
      <c r="K149">
        <v>873</v>
      </c>
      <c r="L149">
        <v>1425</v>
      </c>
      <c r="M149" s="2">
        <v>8</v>
      </c>
      <c r="N149">
        <v>0.63049569599999999</v>
      </c>
      <c r="O149">
        <v>0.95308952899999999</v>
      </c>
      <c r="P149" t="b">
        <v>0</v>
      </c>
      <c r="Q149">
        <v>0.45053147999999998</v>
      </c>
      <c r="R149" s="2">
        <v>1</v>
      </c>
      <c r="S149" s="2" t="str">
        <f t="shared" si="9"/>
        <v>May</v>
      </c>
      <c r="T149">
        <f t="shared" si="10"/>
        <v>2025</v>
      </c>
      <c r="U149" s="2" t="str">
        <f t="shared" si="11"/>
        <v>Q2</v>
      </c>
      <c r="V149" t="str">
        <f t="shared" si="12"/>
        <v>Completed</v>
      </c>
    </row>
    <row r="150" spans="1:22" x14ac:dyDescent="0.3">
      <c r="A150" s="2">
        <v>149</v>
      </c>
      <c r="B150" s="1">
        <v>45806</v>
      </c>
      <c r="C150" s="2" t="s">
        <v>5</v>
      </c>
      <c r="D150">
        <v>3342</v>
      </c>
      <c r="E150">
        <v>3840</v>
      </c>
      <c r="F150">
        <v>3105</v>
      </c>
      <c r="G150">
        <v>4770</v>
      </c>
      <c r="H150">
        <v>189</v>
      </c>
      <c r="I150">
        <v>0.71190382600000002</v>
      </c>
      <c r="J150">
        <v>2.6907398269999998</v>
      </c>
      <c r="K150">
        <v>4197</v>
      </c>
      <c r="L150">
        <v>1509</v>
      </c>
      <c r="M150" s="2">
        <v>4</v>
      </c>
      <c r="N150">
        <v>1.4159307160000001</v>
      </c>
      <c r="O150">
        <v>0.94830784499999998</v>
      </c>
      <c r="P150" t="b">
        <v>0</v>
      </c>
      <c r="Q150">
        <v>0.661488144</v>
      </c>
      <c r="R150" s="2">
        <v>1</v>
      </c>
      <c r="S150" s="2" t="str">
        <f t="shared" si="9"/>
        <v>May</v>
      </c>
      <c r="T150">
        <f t="shared" si="10"/>
        <v>2025</v>
      </c>
      <c r="U150" s="2" t="str">
        <f t="shared" si="11"/>
        <v>Q2</v>
      </c>
      <c r="V150" t="str">
        <f t="shared" si="12"/>
        <v>Completed</v>
      </c>
    </row>
    <row r="151" spans="1:22" x14ac:dyDescent="0.3">
      <c r="A151" s="2">
        <v>150</v>
      </c>
      <c r="B151" s="1">
        <v>45807</v>
      </c>
      <c r="C151" s="2" t="s">
        <v>16</v>
      </c>
      <c r="D151">
        <v>263</v>
      </c>
      <c r="E151">
        <v>3099</v>
      </c>
      <c r="F151">
        <v>673</v>
      </c>
      <c r="G151">
        <v>890</v>
      </c>
      <c r="H151">
        <v>3501</v>
      </c>
      <c r="I151">
        <v>0.48984872400000001</v>
      </c>
      <c r="J151">
        <v>0.82181359700000001</v>
      </c>
      <c r="K151">
        <v>4766</v>
      </c>
      <c r="L151">
        <v>3521</v>
      </c>
      <c r="M151" s="2">
        <v>1</v>
      </c>
      <c r="N151">
        <v>1.436641579</v>
      </c>
      <c r="O151">
        <v>0.96294782700000003</v>
      </c>
      <c r="P151" t="b">
        <v>0</v>
      </c>
      <c r="Q151">
        <v>3.2093213000000002E-2</v>
      </c>
      <c r="R151" s="2">
        <v>1</v>
      </c>
      <c r="S151" s="2" t="str">
        <f t="shared" si="9"/>
        <v>May</v>
      </c>
      <c r="T151">
        <f t="shared" si="10"/>
        <v>2025</v>
      </c>
      <c r="U151" s="2" t="str">
        <f t="shared" si="11"/>
        <v>Q2</v>
      </c>
      <c r="V151" t="str">
        <f t="shared" si="12"/>
        <v>Completed</v>
      </c>
    </row>
    <row r="152" spans="1:22" x14ac:dyDescent="0.3">
      <c r="A152" s="2">
        <v>151</v>
      </c>
      <c r="B152" s="1">
        <v>45808</v>
      </c>
      <c r="C152" s="2" t="s">
        <v>17</v>
      </c>
      <c r="D152">
        <v>2782</v>
      </c>
      <c r="E152">
        <v>1789</v>
      </c>
      <c r="F152">
        <v>3468</v>
      </c>
      <c r="G152">
        <v>1353</v>
      </c>
      <c r="H152">
        <v>3155</v>
      </c>
      <c r="I152">
        <v>0.482448602</v>
      </c>
      <c r="J152">
        <v>2.7111566869999999</v>
      </c>
      <c r="K152">
        <v>3129</v>
      </c>
      <c r="L152">
        <v>1275</v>
      </c>
      <c r="M152" s="2">
        <v>3</v>
      </c>
      <c r="N152">
        <v>1.2297406099999999</v>
      </c>
      <c r="O152">
        <v>0.88547857399999996</v>
      </c>
      <c r="P152" t="b">
        <v>0</v>
      </c>
      <c r="Q152">
        <v>0.54701553599999997</v>
      </c>
      <c r="R152" s="2">
        <v>1</v>
      </c>
      <c r="S152" s="2" t="str">
        <f t="shared" si="9"/>
        <v>May</v>
      </c>
      <c r="T152">
        <f t="shared" si="10"/>
        <v>2025</v>
      </c>
      <c r="U152" s="2" t="str">
        <f t="shared" si="11"/>
        <v>Q2</v>
      </c>
      <c r="V152" t="str">
        <f t="shared" si="12"/>
        <v>Completed</v>
      </c>
    </row>
    <row r="153" spans="1:22" x14ac:dyDescent="0.3">
      <c r="A153" s="2">
        <v>152</v>
      </c>
      <c r="B153" s="1">
        <v>45809</v>
      </c>
      <c r="C153" s="2" t="s">
        <v>17</v>
      </c>
      <c r="D153">
        <v>1708</v>
      </c>
      <c r="E153">
        <v>2776</v>
      </c>
      <c r="F153">
        <v>2530</v>
      </c>
      <c r="G153">
        <v>3191</v>
      </c>
      <c r="H153">
        <v>1184</v>
      </c>
      <c r="I153">
        <v>0.48184764299999999</v>
      </c>
      <c r="J153">
        <v>0.914745578</v>
      </c>
      <c r="K153">
        <v>904</v>
      </c>
      <c r="L153">
        <v>325</v>
      </c>
      <c r="M153" s="2">
        <v>3</v>
      </c>
      <c r="N153">
        <v>0.99243768600000004</v>
      </c>
      <c r="O153">
        <v>0.97013881300000004</v>
      </c>
      <c r="P153" t="b">
        <v>0</v>
      </c>
      <c r="Q153">
        <v>0.32747342600000001</v>
      </c>
      <c r="R153" s="2">
        <v>1</v>
      </c>
      <c r="S153" s="2" t="str">
        <f t="shared" si="9"/>
        <v>Jun</v>
      </c>
      <c r="T153">
        <f t="shared" si="10"/>
        <v>2025</v>
      </c>
      <c r="U153" s="2" t="str">
        <f t="shared" si="11"/>
        <v>Q2</v>
      </c>
      <c r="V153" t="str">
        <f t="shared" si="12"/>
        <v>Completed</v>
      </c>
    </row>
    <row r="154" spans="1:22" x14ac:dyDescent="0.3">
      <c r="A154" s="2">
        <v>153</v>
      </c>
      <c r="B154" s="1">
        <v>45810</v>
      </c>
      <c r="C154" s="2" t="s">
        <v>5</v>
      </c>
      <c r="D154">
        <v>4516</v>
      </c>
      <c r="E154">
        <v>1375</v>
      </c>
      <c r="F154">
        <v>1452</v>
      </c>
      <c r="G154">
        <v>4540</v>
      </c>
      <c r="H154">
        <v>1505</v>
      </c>
      <c r="I154">
        <v>0.59873691500000004</v>
      </c>
      <c r="J154">
        <v>2.7833613509999999</v>
      </c>
      <c r="K154">
        <v>4051</v>
      </c>
      <c r="L154">
        <v>3058</v>
      </c>
      <c r="M154" s="2">
        <v>3</v>
      </c>
      <c r="N154">
        <v>0.75349814199999998</v>
      </c>
      <c r="O154">
        <v>0.90323023899999999</v>
      </c>
      <c r="P154" t="b">
        <v>0</v>
      </c>
      <c r="Q154">
        <v>0.90147179099999997</v>
      </c>
      <c r="R154" s="2">
        <v>1</v>
      </c>
      <c r="S154" s="2" t="str">
        <f t="shared" si="9"/>
        <v>Jun</v>
      </c>
      <c r="T154">
        <f t="shared" si="10"/>
        <v>2025</v>
      </c>
      <c r="U154" s="2" t="str">
        <f t="shared" si="11"/>
        <v>Q2</v>
      </c>
      <c r="V154" t="str">
        <f t="shared" si="12"/>
        <v>Completed</v>
      </c>
    </row>
    <row r="155" spans="1:22" x14ac:dyDescent="0.3">
      <c r="A155" s="2">
        <v>154</v>
      </c>
      <c r="B155" s="1">
        <v>45811</v>
      </c>
      <c r="C155" s="2" t="s">
        <v>17</v>
      </c>
      <c r="D155">
        <v>3084</v>
      </c>
      <c r="E155">
        <v>2538</v>
      </c>
      <c r="F155">
        <v>1657</v>
      </c>
      <c r="G155">
        <v>3452</v>
      </c>
      <c r="H155">
        <v>749</v>
      </c>
      <c r="I155">
        <v>0.52140952100000004</v>
      </c>
      <c r="J155">
        <v>2.0527979159999998</v>
      </c>
      <c r="K155">
        <v>4121</v>
      </c>
      <c r="L155">
        <v>2860</v>
      </c>
      <c r="M155" s="2">
        <v>9</v>
      </c>
      <c r="N155">
        <v>1.927641194</v>
      </c>
      <c r="O155">
        <v>0.80540709499999996</v>
      </c>
      <c r="P155" t="b">
        <v>0</v>
      </c>
      <c r="Q155">
        <v>0.60874897800000005</v>
      </c>
      <c r="R155" s="2">
        <v>1</v>
      </c>
      <c r="S155" s="2" t="str">
        <f t="shared" si="9"/>
        <v>Jun</v>
      </c>
      <c r="T155">
        <f t="shared" si="10"/>
        <v>2025</v>
      </c>
      <c r="U155" s="2" t="str">
        <f t="shared" si="11"/>
        <v>Q2</v>
      </c>
      <c r="V155" t="str">
        <f t="shared" si="12"/>
        <v>Completed</v>
      </c>
    </row>
    <row r="156" spans="1:22" x14ac:dyDescent="0.3">
      <c r="A156" s="2">
        <v>155</v>
      </c>
      <c r="B156" s="1">
        <v>45812</v>
      </c>
      <c r="C156" s="2" t="s">
        <v>17</v>
      </c>
      <c r="D156">
        <v>2013</v>
      </c>
      <c r="E156">
        <v>1308</v>
      </c>
      <c r="F156">
        <v>1024</v>
      </c>
      <c r="G156">
        <v>2422</v>
      </c>
      <c r="H156">
        <v>1561</v>
      </c>
      <c r="I156">
        <v>0.57499949500000003</v>
      </c>
      <c r="J156">
        <v>0.59011329099999998</v>
      </c>
      <c r="K156">
        <v>2391</v>
      </c>
      <c r="L156">
        <v>3332</v>
      </c>
      <c r="M156" s="2">
        <v>2</v>
      </c>
      <c r="N156">
        <v>1.126522026</v>
      </c>
      <c r="O156">
        <v>0.96081266200000004</v>
      </c>
      <c r="P156" t="b">
        <v>0</v>
      </c>
      <c r="Q156">
        <v>0.389820114</v>
      </c>
      <c r="R156" s="2">
        <v>1</v>
      </c>
      <c r="S156" s="2" t="str">
        <f t="shared" si="9"/>
        <v>Jun</v>
      </c>
      <c r="T156">
        <f t="shared" si="10"/>
        <v>2025</v>
      </c>
      <c r="U156" s="2" t="str">
        <f t="shared" si="11"/>
        <v>Q2</v>
      </c>
      <c r="V156" t="str">
        <f t="shared" si="12"/>
        <v>Completed</v>
      </c>
    </row>
    <row r="157" spans="1:22" x14ac:dyDescent="0.3">
      <c r="A157" s="2">
        <v>156</v>
      </c>
      <c r="B157" s="1">
        <v>45813</v>
      </c>
      <c r="C157" s="2" t="s">
        <v>17</v>
      </c>
      <c r="D157">
        <v>4925</v>
      </c>
      <c r="E157">
        <v>4131</v>
      </c>
      <c r="F157">
        <v>293</v>
      </c>
      <c r="G157">
        <v>3693</v>
      </c>
      <c r="H157">
        <v>1823</v>
      </c>
      <c r="I157">
        <v>0.21577509</v>
      </c>
      <c r="J157">
        <v>2.8185684649999998</v>
      </c>
      <c r="K157">
        <v>752</v>
      </c>
      <c r="L157">
        <v>3968</v>
      </c>
      <c r="M157" s="2">
        <v>7</v>
      </c>
      <c r="N157">
        <v>1.5555727479999999</v>
      </c>
      <c r="O157">
        <v>0.93335460299999995</v>
      </c>
      <c r="P157" t="b">
        <v>0</v>
      </c>
      <c r="Q157">
        <v>0.98507767800000001</v>
      </c>
      <c r="R157" s="2">
        <v>1</v>
      </c>
      <c r="S157" s="2" t="str">
        <f t="shared" si="9"/>
        <v>Jun</v>
      </c>
      <c r="T157">
        <f t="shared" si="10"/>
        <v>2025</v>
      </c>
      <c r="U157" s="2" t="str">
        <f t="shared" si="11"/>
        <v>Q2</v>
      </c>
      <c r="V157" t="str">
        <f t="shared" si="12"/>
        <v>Completed</v>
      </c>
    </row>
    <row r="158" spans="1:22" x14ac:dyDescent="0.3">
      <c r="A158" s="2">
        <v>157</v>
      </c>
      <c r="B158" s="1">
        <v>45814</v>
      </c>
      <c r="C158" s="2" t="s">
        <v>5</v>
      </c>
      <c r="D158">
        <v>136</v>
      </c>
      <c r="E158">
        <v>4325</v>
      </c>
      <c r="F158">
        <v>2820</v>
      </c>
      <c r="G158">
        <v>4213</v>
      </c>
      <c r="H158">
        <v>1235</v>
      </c>
      <c r="I158">
        <v>0.65068197800000005</v>
      </c>
      <c r="J158">
        <v>2.6376852149999999</v>
      </c>
      <c r="K158">
        <v>1785</v>
      </c>
      <c r="L158">
        <v>1266</v>
      </c>
      <c r="M158" s="2">
        <v>7</v>
      </c>
      <c r="N158">
        <v>1.7482321510000001</v>
      </c>
      <c r="O158">
        <v>0.82517341399999999</v>
      </c>
      <c r="P158" t="b">
        <v>0</v>
      </c>
      <c r="Q158">
        <v>6.1324609999999996E-3</v>
      </c>
      <c r="R158" s="2">
        <v>1</v>
      </c>
      <c r="S158" s="2" t="str">
        <f t="shared" si="9"/>
        <v>Jun</v>
      </c>
      <c r="T158">
        <f t="shared" si="10"/>
        <v>2025</v>
      </c>
      <c r="U158" s="2" t="str">
        <f t="shared" si="11"/>
        <v>Q2</v>
      </c>
      <c r="V158" t="str">
        <f t="shared" si="12"/>
        <v>Completed</v>
      </c>
    </row>
    <row r="159" spans="1:22" x14ac:dyDescent="0.3">
      <c r="A159" s="2">
        <v>158</v>
      </c>
      <c r="B159" s="1">
        <v>45815</v>
      </c>
      <c r="C159" s="2" t="s">
        <v>18</v>
      </c>
      <c r="D159">
        <v>171</v>
      </c>
      <c r="E159">
        <v>2542</v>
      </c>
      <c r="F159">
        <v>3650</v>
      </c>
      <c r="G159">
        <v>1937</v>
      </c>
      <c r="H159">
        <v>836</v>
      </c>
      <c r="I159">
        <v>0.681183439</v>
      </c>
      <c r="J159">
        <v>1.437626917</v>
      </c>
      <c r="K159">
        <v>2211</v>
      </c>
      <c r="L159">
        <v>3536</v>
      </c>
      <c r="M159" s="2">
        <v>2</v>
      </c>
      <c r="N159">
        <v>0.64971472100000005</v>
      </c>
      <c r="O159">
        <v>0.83993691400000003</v>
      </c>
      <c r="P159" t="b">
        <v>1</v>
      </c>
      <c r="Q159">
        <v>1.3286999000000001E-2</v>
      </c>
      <c r="R159" s="2">
        <v>1</v>
      </c>
      <c r="S159" s="2" t="str">
        <f t="shared" si="9"/>
        <v>Jun</v>
      </c>
      <c r="T159">
        <f t="shared" si="10"/>
        <v>2025</v>
      </c>
      <c r="U159" s="2" t="str">
        <f t="shared" si="11"/>
        <v>Q2</v>
      </c>
      <c r="V159" t="str">
        <f t="shared" si="12"/>
        <v>Completed</v>
      </c>
    </row>
    <row r="160" spans="1:22" x14ac:dyDescent="0.3">
      <c r="A160" s="2">
        <v>159</v>
      </c>
      <c r="B160" s="1">
        <v>45816</v>
      </c>
      <c r="C160" s="2" t="s">
        <v>17</v>
      </c>
      <c r="D160">
        <v>3276</v>
      </c>
      <c r="E160">
        <v>946</v>
      </c>
      <c r="F160">
        <v>1139</v>
      </c>
      <c r="G160">
        <v>4393</v>
      </c>
      <c r="H160">
        <v>1550</v>
      </c>
      <c r="I160">
        <v>0.29407204999999997</v>
      </c>
      <c r="J160">
        <v>2.6081208650000001</v>
      </c>
      <c r="K160">
        <v>3354</v>
      </c>
      <c r="L160">
        <v>1392</v>
      </c>
      <c r="M160" s="2">
        <v>3</v>
      </c>
      <c r="N160">
        <v>1.500200406</v>
      </c>
      <c r="O160">
        <v>0.88137565200000001</v>
      </c>
      <c r="P160" t="b">
        <v>0</v>
      </c>
      <c r="Q160">
        <v>0.64799672900000005</v>
      </c>
      <c r="R160" s="2">
        <v>1</v>
      </c>
      <c r="S160" s="2" t="str">
        <f t="shared" si="9"/>
        <v>Jun</v>
      </c>
      <c r="T160">
        <f t="shared" si="10"/>
        <v>2025</v>
      </c>
      <c r="U160" s="2" t="str">
        <f t="shared" si="11"/>
        <v>Q2</v>
      </c>
      <c r="V160" t="str">
        <f t="shared" si="12"/>
        <v>Completed</v>
      </c>
    </row>
    <row r="161" spans="1:22" x14ac:dyDescent="0.3">
      <c r="A161" s="2">
        <v>160</v>
      </c>
      <c r="B161" s="1">
        <v>45817</v>
      </c>
      <c r="C161" s="2" t="s">
        <v>5</v>
      </c>
      <c r="D161">
        <v>4219</v>
      </c>
      <c r="E161">
        <v>1227</v>
      </c>
      <c r="F161">
        <v>3744</v>
      </c>
      <c r="G161">
        <v>1869</v>
      </c>
      <c r="H161">
        <v>1374</v>
      </c>
      <c r="I161">
        <v>0.733459105</v>
      </c>
      <c r="J161">
        <v>0.68101807800000003</v>
      </c>
      <c r="K161">
        <v>1223</v>
      </c>
      <c r="L161">
        <v>845</v>
      </c>
      <c r="M161" s="2">
        <v>7</v>
      </c>
      <c r="N161">
        <v>1.283310175</v>
      </c>
      <c r="O161">
        <v>0.87864861599999999</v>
      </c>
      <c r="P161" t="b">
        <v>0</v>
      </c>
      <c r="Q161">
        <v>0.84076042500000003</v>
      </c>
      <c r="R161" s="2">
        <v>1</v>
      </c>
      <c r="S161" s="2" t="str">
        <f t="shared" si="9"/>
        <v>Jun</v>
      </c>
      <c r="T161">
        <f t="shared" si="10"/>
        <v>2025</v>
      </c>
      <c r="U161" s="2" t="str">
        <f t="shared" si="11"/>
        <v>Q2</v>
      </c>
      <c r="V161" t="str">
        <f t="shared" si="12"/>
        <v>Completed</v>
      </c>
    </row>
    <row r="162" spans="1:22" x14ac:dyDescent="0.3">
      <c r="A162" s="2">
        <v>161</v>
      </c>
      <c r="B162" s="1">
        <v>45818</v>
      </c>
      <c r="C162" s="2" t="s">
        <v>17</v>
      </c>
      <c r="D162">
        <v>980</v>
      </c>
      <c r="E162">
        <v>2368</v>
      </c>
      <c r="F162">
        <v>2583</v>
      </c>
      <c r="G162">
        <v>3398</v>
      </c>
      <c r="H162">
        <v>2028</v>
      </c>
      <c r="I162">
        <v>0.62225324699999995</v>
      </c>
      <c r="J162">
        <v>1.7302007070000001</v>
      </c>
      <c r="K162">
        <v>3518</v>
      </c>
      <c r="L162">
        <v>2121</v>
      </c>
      <c r="M162" s="2">
        <v>8</v>
      </c>
      <c r="N162">
        <v>1.518100035</v>
      </c>
      <c r="O162">
        <v>0.94127791400000005</v>
      </c>
      <c r="P162" t="b">
        <v>1</v>
      </c>
      <c r="Q162">
        <v>0.17865903499999999</v>
      </c>
      <c r="R162" s="2">
        <v>0</v>
      </c>
      <c r="S162" s="2" t="str">
        <f t="shared" si="9"/>
        <v>Jun</v>
      </c>
      <c r="T162">
        <f t="shared" si="10"/>
        <v>2025</v>
      </c>
      <c r="U162" s="2" t="str">
        <f t="shared" si="11"/>
        <v>Q2</v>
      </c>
      <c r="V162" t="str">
        <f t="shared" si="12"/>
        <v>Completed</v>
      </c>
    </row>
    <row r="163" spans="1:22" x14ac:dyDescent="0.3">
      <c r="A163" s="2">
        <v>162</v>
      </c>
      <c r="B163" s="1">
        <v>45819</v>
      </c>
      <c r="C163" s="2" t="s">
        <v>16</v>
      </c>
      <c r="D163">
        <v>4781</v>
      </c>
      <c r="E163">
        <v>1209</v>
      </c>
      <c r="F163">
        <v>2737</v>
      </c>
      <c r="G163">
        <v>4752</v>
      </c>
      <c r="H163">
        <v>2680</v>
      </c>
      <c r="I163">
        <v>0.39727063400000001</v>
      </c>
      <c r="J163">
        <v>1.080823466</v>
      </c>
      <c r="K163">
        <v>2824</v>
      </c>
      <c r="L163">
        <v>1847</v>
      </c>
      <c r="M163" s="2">
        <v>9</v>
      </c>
      <c r="N163">
        <v>1.964975597</v>
      </c>
      <c r="O163">
        <v>0.87658470899999996</v>
      </c>
      <c r="P163" t="b">
        <v>0</v>
      </c>
      <c r="Q163">
        <v>0.95564186399999995</v>
      </c>
      <c r="R163" s="2">
        <v>1</v>
      </c>
      <c r="S163" s="2" t="str">
        <f t="shared" si="9"/>
        <v>Jun</v>
      </c>
      <c r="T163">
        <f t="shared" si="10"/>
        <v>2025</v>
      </c>
      <c r="U163" s="2" t="str">
        <f t="shared" si="11"/>
        <v>Q2</v>
      </c>
      <c r="V163" t="str">
        <f t="shared" si="12"/>
        <v>Failed</v>
      </c>
    </row>
    <row r="164" spans="1:22" x14ac:dyDescent="0.3">
      <c r="A164" s="2">
        <v>163</v>
      </c>
      <c r="B164" s="1">
        <v>45820</v>
      </c>
      <c r="C164" s="2" t="s">
        <v>18</v>
      </c>
      <c r="D164">
        <v>1718</v>
      </c>
      <c r="E164">
        <v>2206</v>
      </c>
      <c r="F164">
        <v>2113</v>
      </c>
      <c r="G164">
        <v>1628</v>
      </c>
      <c r="H164">
        <v>494</v>
      </c>
      <c r="I164">
        <v>0.35332880999999999</v>
      </c>
      <c r="J164">
        <v>1.858188656</v>
      </c>
      <c r="K164">
        <v>1521</v>
      </c>
      <c r="L164">
        <v>3481</v>
      </c>
      <c r="M164" s="2">
        <v>9</v>
      </c>
      <c r="N164">
        <v>1.6755991830000001</v>
      </c>
      <c r="O164">
        <v>0.98766024799999996</v>
      </c>
      <c r="P164" t="b">
        <v>0</v>
      </c>
      <c r="Q164">
        <v>0.32951757999999998</v>
      </c>
      <c r="R164" s="2">
        <v>1</v>
      </c>
      <c r="S164" s="2" t="str">
        <f t="shared" si="9"/>
        <v>Jun</v>
      </c>
      <c r="T164">
        <f t="shared" si="10"/>
        <v>2025</v>
      </c>
      <c r="U164" s="2" t="str">
        <f t="shared" si="11"/>
        <v>Q2</v>
      </c>
      <c r="V164" t="str">
        <f t="shared" si="12"/>
        <v>Completed</v>
      </c>
    </row>
    <row r="165" spans="1:22" x14ac:dyDescent="0.3">
      <c r="A165" s="2">
        <v>164</v>
      </c>
      <c r="B165" s="1">
        <v>45821</v>
      </c>
      <c r="C165" s="2" t="s">
        <v>5</v>
      </c>
      <c r="D165">
        <v>3796</v>
      </c>
      <c r="E165">
        <v>1916</v>
      </c>
      <c r="F165">
        <v>791</v>
      </c>
      <c r="G165">
        <v>3476</v>
      </c>
      <c r="H165">
        <v>3786</v>
      </c>
      <c r="I165">
        <v>0.35327866699999999</v>
      </c>
      <c r="J165">
        <v>1.210657249</v>
      </c>
      <c r="K165">
        <v>3497</v>
      </c>
      <c r="L165">
        <v>709</v>
      </c>
      <c r="M165" s="2">
        <v>4</v>
      </c>
      <c r="N165">
        <v>1.580864373</v>
      </c>
      <c r="O165">
        <v>0.87345121699999995</v>
      </c>
      <c r="P165" t="b">
        <v>0</v>
      </c>
      <c r="Q165">
        <v>0.75429272300000005</v>
      </c>
      <c r="R165" s="2">
        <v>1</v>
      </c>
      <c r="S165" s="2" t="str">
        <f t="shared" si="9"/>
        <v>Jun</v>
      </c>
      <c r="T165">
        <f t="shared" si="10"/>
        <v>2025</v>
      </c>
      <c r="U165" s="2" t="str">
        <f t="shared" si="11"/>
        <v>Q2</v>
      </c>
      <c r="V165" t="str">
        <f t="shared" si="12"/>
        <v>Completed</v>
      </c>
    </row>
    <row r="166" spans="1:22" x14ac:dyDescent="0.3">
      <c r="A166" s="2">
        <v>165</v>
      </c>
      <c r="B166" s="1">
        <v>45822</v>
      </c>
      <c r="C166" s="2" t="s">
        <v>5</v>
      </c>
      <c r="D166">
        <v>1916</v>
      </c>
      <c r="E166">
        <v>2887</v>
      </c>
      <c r="F166">
        <v>746</v>
      </c>
      <c r="G166">
        <v>2801</v>
      </c>
      <c r="H166">
        <v>1775</v>
      </c>
      <c r="I166">
        <v>0.69925626399999996</v>
      </c>
      <c r="J166">
        <v>1.787347891</v>
      </c>
      <c r="K166">
        <v>603</v>
      </c>
      <c r="L166">
        <v>3812</v>
      </c>
      <c r="M166" s="2">
        <v>5</v>
      </c>
      <c r="N166">
        <v>0.72179737499999996</v>
      </c>
      <c r="O166">
        <v>0.88521607400000002</v>
      </c>
      <c r="P166" t="b">
        <v>0</v>
      </c>
      <c r="Q166">
        <v>0.369991823</v>
      </c>
      <c r="R166" s="2">
        <v>1</v>
      </c>
      <c r="S166" s="2" t="str">
        <f t="shared" si="9"/>
        <v>Jun</v>
      </c>
      <c r="T166">
        <f t="shared" si="10"/>
        <v>2025</v>
      </c>
      <c r="U166" s="2" t="str">
        <f t="shared" si="11"/>
        <v>Q2</v>
      </c>
      <c r="V166" t="str">
        <f t="shared" si="12"/>
        <v>Completed</v>
      </c>
    </row>
    <row r="167" spans="1:22" x14ac:dyDescent="0.3">
      <c r="A167" s="2">
        <v>166</v>
      </c>
      <c r="B167" s="1">
        <v>45823</v>
      </c>
      <c r="C167" s="2" t="s">
        <v>17</v>
      </c>
      <c r="D167">
        <v>4323</v>
      </c>
      <c r="E167">
        <v>1580</v>
      </c>
      <c r="F167">
        <v>573</v>
      </c>
      <c r="G167">
        <v>1205</v>
      </c>
      <c r="H167">
        <v>2378</v>
      </c>
      <c r="I167">
        <v>0.51768784700000003</v>
      </c>
      <c r="J167">
        <v>1.93181413</v>
      </c>
      <c r="K167">
        <v>861</v>
      </c>
      <c r="L167">
        <v>2856</v>
      </c>
      <c r="M167" s="2">
        <v>1</v>
      </c>
      <c r="N167">
        <v>0.73482848700000003</v>
      </c>
      <c r="O167">
        <v>0.99494540899999995</v>
      </c>
      <c r="P167" t="b">
        <v>0</v>
      </c>
      <c r="Q167">
        <v>0.86201962399999998</v>
      </c>
      <c r="R167" s="2">
        <v>1</v>
      </c>
      <c r="S167" s="2" t="str">
        <f t="shared" si="9"/>
        <v>Jun</v>
      </c>
      <c r="T167">
        <f t="shared" si="10"/>
        <v>2025</v>
      </c>
      <c r="U167" s="2" t="str">
        <f t="shared" si="11"/>
        <v>Q2</v>
      </c>
      <c r="V167" t="str">
        <f t="shared" si="12"/>
        <v>Completed</v>
      </c>
    </row>
    <row r="168" spans="1:22" x14ac:dyDescent="0.3">
      <c r="A168" s="2">
        <v>167</v>
      </c>
      <c r="B168" s="1">
        <v>45824</v>
      </c>
      <c r="C168" s="2" t="s">
        <v>16</v>
      </c>
      <c r="D168">
        <v>2948</v>
      </c>
      <c r="E168">
        <v>2453</v>
      </c>
      <c r="F168">
        <v>3730</v>
      </c>
      <c r="G168">
        <v>4199</v>
      </c>
      <c r="H168">
        <v>1041</v>
      </c>
      <c r="I168">
        <v>0.48285288799999998</v>
      </c>
      <c r="J168">
        <v>1.4186869550000001</v>
      </c>
      <c r="K168">
        <v>2943</v>
      </c>
      <c r="L168">
        <v>216</v>
      </c>
      <c r="M168" s="2">
        <v>1</v>
      </c>
      <c r="N168">
        <v>1.822262864</v>
      </c>
      <c r="O168">
        <v>0.80858918899999999</v>
      </c>
      <c r="P168" t="b">
        <v>0</v>
      </c>
      <c r="Q168">
        <v>0.58094848700000001</v>
      </c>
      <c r="R168" s="2">
        <v>1</v>
      </c>
      <c r="S168" s="2" t="str">
        <f t="shared" si="9"/>
        <v>Jun</v>
      </c>
      <c r="T168">
        <f t="shared" si="10"/>
        <v>2025</v>
      </c>
      <c r="U168" s="2" t="str">
        <f t="shared" si="11"/>
        <v>Q2</v>
      </c>
      <c r="V168" t="str">
        <f t="shared" si="12"/>
        <v>Completed</v>
      </c>
    </row>
    <row r="169" spans="1:22" x14ac:dyDescent="0.3">
      <c r="A169" s="2">
        <v>168</v>
      </c>
      <c r="B169" s="1">
        <v>45825</v>
      </c>
      <c r="C169" s="2" t="s">
        <v>5</v>
      </c>
      <c r="D169">
        <v>2263</v>
      </c>
      <c r="E169">
        <v>2693</v>
      </c>
      <c r="F169">
        <v>3191</v>
      </c>
      <c r="G169">
        <v>2091</v>
      </c>
      <c r="H169">
        <v>1097</v>
      </c>
      <c r="I169">
        <v>0.77820051800000001</v>
      </c>
      <c r="J169">
        <v>1.2698583409999999</v>
      </c>
      <c r="K169">
        <v>3961</v>
      </c>
      <c r="L169">
        <v>771</v>
      </c>
      <c r="M169" s="2">
        <v>1</v>
      </c>
      <c r="N169">
        <v>1.4130477669999999</v>
      </c>
      <c r="O169">
        <v>0.879850723</v>
      </c>
      <c r="P169" t="b">
        <v>0</v>
      </c>
      <c r="Q169">
        <v>0.44092395699999998</v>
      </c>
      <c r="R169" s="2">
        <v>1</v>
      </c>
      <c r="S169" s="2" t="str">
        <f t="shared" si="9"/>
        <v>Jun</v>
      </c>
      <c r="T169">
        <f t="shared" si="10"/>
        <v>2025</v>
      </c>
      <c r="U169" s="2" t="str">
        <f t="shared" si="11"/>
        <v>Q2</v>
      </c>
      <c r="V169" t="str">
        <f t="shared" si="12"/>
        <v>Completed</v>
      </c>
    </row>
    <row r="170" spans="1:22" x14ac:dyDescent="0.3">
      <c r="A170" s="2">
        <v>169</v>
      </c>
      <c r="B170" s="1">
        <v>45826</v>
      </c>
      <c r="C170" s="2" t="s">
        <v>5</v>
      </c>
      <c r="D170">
        <v>3111</v>
      </c>
      <c r="E170">
        <v>1302</v>
      </c>
      <c r="F170">
        <v>1408</v>
      </c>
      <c r="G170">
        <v>3047</v>
      </c>
      <c r="H170">
        <v>2260</v>
      </c>
      <c r="I170">
        <v>0.39422374999999998</v>
      </c>
      <c r="J170">
        <v>2.5934935559999999</v>
      </c>
      <c r="K170">
        <v>3656</v>
      </c>
      <c r="L170">
        <v>184</v>
      </c>
      <c r="M170" s="2">
        <v>4</v>
      </c>
      <c r="N170">
        <v>1.6191378110000001</v>
      </c>
      <c r="O170">
        <v>0.97724503699999998</v>
      </c>
      <c r="P170" t="b">
        <v>0</v>
      </c>
      <c r="Q170">
        <v>0.61426819300000002</v>
      </c>
      <c r="R170" s="2">
        <v>1</v>
      </c>
      <c r="S170" s="2" t="str">
        <f t="shared" si="9"/>
        <v>Jun</v>
      </c>
      <c r="T170">
        <f t="shared" si="10"/>
        <v>2025</v>
      </c>
      <c r="U170" s="2" t="str">
        <f t="shared" si="11"/>
        <v>Q2</v>
      </c>
      <c r="V170" t="str">
        <f t="shared" si="12"/>
        <v>Completed</v>
      </c>
    </row>
    <row r="171" spans="1:22" x14ac:dyDescent="0.3">
      <c r="A171" s="2">
        <v>170</v>
      </c>
      <c r="B171" s="1">
        <v>45827</v>
      </c>
      <c r="C171" s="2" t="s">
        <v>17</v>
      </c>
      <c r="D171">
        <v>4666</v>
      </c>
      <c r="E171">
        <v>1794</v>
      </c>
      <c r="F171">
        <v>1729</v>
      </c>
      <c r="G171">
        <v>1012</v>
      </c>
      <c r="H171">
        <v>149</v>
      </c>
      <c r="I171">
        <v>0.29888695900000001</v>
      </c>
      <c r="J171">
        <v>1.705181426</v>
      </c>
      <c r="K171">
        <v>1675</v>
      </c>
      <c r="L171">
        <v>2207</v>
      </c>
      <c r="M171" s="2">
        <v>1</v>
      </c>
      <c r="N171">
        <v>1.4565493620000001</v>
      </c>
      <c r="O171">
        <v>0.84905927299999995</v>
      </c>
      <c r="P171" t="b">
        <v>0</v>
      </c>
      <c r="Q171">
        <v>0.93213409599999997</v>
      </c>
      <c r="R171" s="2">
        <v>1</v>
      </c>
      <c r="S171" s="2" t="str">
        <f t="shared" si="9"/>
        <v>Jun</v>
      </c>
      <c r="T171">
        <f t="shared" si="10"/>
        <v>2025</v>
      </c>
      <c r="U171" s="2" t="str">
        <f t="shared" si="11"/>
        <v>Q2</v>
      </c>
      <c r="V171" t="str">
        <f t="shared" si="12"/>
        <v>Completed</v>
      </c>
    </row>
    <row r="172" spans="1:22" x14ac:dyDescent="0.3">
      <c r="A172" s="2">
        <v>171</v>
      </c>
      <c r="B172" s="1">
        <v>45828</v>
      </c>
      <c r="C172" s="2" t="s">
        <v>17</v>
      </c>
      <c r="D172">
        <v>2604</v>
      </c>
      <c r="E172">
        <v>1534</v>
      </c>
      <c r="F172">
        <v>2454</v>
      </c>
      <c r="G172">
        <v>4469</v>
      </c>
      <c r="H172">
        <v>928</v>
      </c>
      <c r="I172">
        <v>0.48101476399999998</v>
      </c>
      <c r="J172">
        <v>2.5662066939999999</v>
      </c>
      <c r="K172">
        <v>3888</v>
      </c>
      <c r="L172">
        <v>255</v>
      </c>
      <c r="M172" s="2">
        <v>7</v>
      </c>
      <c r="N172">
        <v>1.7240210520000001</v>
      </c>
      <c r="O172">
        <v>0.895657598</v>
      </c>
      <c r="P172" t="b">
        <v>0</v>
      </c>
      <c r="Q172">
        <v>0.51062959900000005</v>
      </c>
      <c r="R172" s="2">
        <v>1</v>
      </c>
      <c r="S172" s="2" t="str">
        <f t="shared" si="9"/>
        <v>Jun</v>
      </c>
      <c r="T172">
        <f t="shared" si="10"/>
        <v>2025</v>
      </c>
      <c r="U172" s="2" t="str">
        <f t="shared" si="11"/>
        <v>Q2</v>
      </c>
      <c r="V172" t="str">
        <f t="shared" si="12"/>
        <v>Completed</v>
      </c>
    </row>
    <row r="173" spans="1:22" x14ac:dyDescent="0.3">
      <c r="A173" s="2">
        <v>172</v>
      </c>
      <c r="B173" s="1">
        <v>45829</v>
      </c>
      <c r="C173" s="2" t="s">
        <v>17</v>
      </c>
      <c r="D173">
        <v>224</v>
      </c>
      <c r="E173">
        <v>3441</v>
      </c>
      <c r="F173">
        <v>1320</v>
      </c>
      <c r="G173">
        <v>710</v>
      </c>
      <c r="H173">
        <v>2863</v>
      </c>
      <c r="I173">
        <v>0.71360012100000003</v>
      </c>
      <c r="J173">
        <v>2.364114373</v>
      </c>
      <c r="K173">
        <v>3490</v>
      </c>
      <c r="L173">
        <v>3196</v>
      </c>
      <c r="M173" s="2">
        <v>6</v>
      </c>
      <c r="N173">
        <v>0.90896505299999997</v>
      </c>
      <c r="O173">
        <v>0.90451152499999998</v>
      </c>
      <c r="P173" t="b">
        <v>0</v>
      </c>
      <c r="Q173">
        <v>2.4121014E-2</v>
      </c>
      <c r="R173" s="2">
        <v>1</v>
      </c>
      <c r="S173" s="2" t="str">
        <f t="shared" si="9"/>
        <v>Jun</v>
      </c>
      <c r="T173">
        <f t="shared" si="10"/>
        <v>2025</v>
      </c>
      <c r="U173" s="2" t="str">
        <f t="shared" si="11"/>
        <v>Q2</v>
      </c>
      <c r="V173" t="str">
        <f t="shared" si="12"/>
        <v>Completed</v>
      </c>
    </row>
    <row r="174" spans="1:22" x14ac:dyDescent="0.3">
      <c r="A174" s="2">
        <v>173</v>
      </c>
      <c r="B174" s="1">
        <v>45830</v>
      </c>
      <c r="C174" s="2" t="s">
        <v>17</v>
      </c>
      <c r="D174">
        <v>4041</v>
      </c>
      <c r="E174">
        <v>2112</v>
      </c>
      <c r="F174">
        <v>1410</v>
      </c>
      <c r="G174">
        <v>2366</v>
      </c>
      <c r="H174">
        <v>2226</v>
      </c>
      <c r="I174">
        <v>0.36889062</v>
      </c>
      <c r="J174">
        <v>1.0351383329999999</v>
      </c>
      <c r="K174">
        <v>2726</v>
      </c>
      <c r="L174">
        <v>3028</v>
      </c>
      <c r="M174" s="2">
        <v>8</v>
      </c>
      <c r="N174">
        <v>1.1378304850000001</v>
      </c>
      <c r="O174">
        <v>0.94952659399999995</v>
      </c>
      <c r="P174" t="b">
        <v>0</v>
      </c>
      <c r="Q174">
        <v>0.80437448899999997</v>
      </c>
      <c r="R174" s="2">
        <v>0</v>
      </c>
      <c r="S174" s="2" t="str">
        <f t="shared" si="9"/>
        <v>Jun</v>
      </c>
      <c r="T174">
        <f t="shared" si="10"/>
        <v>2025</v>
      </c>
      <c r="U174" s="2" t="str">
        <f t="shared" si="11"/>
        <v>Q2</v>
      </c>
      <c r="V174" t="str">
        <f t="shared" si="12"/>
        <v>Completed</v>
      </c>
    </row>
    <row r="175" spans="1:22" x14ac:dyDescent="0.3">
      <c r="A175" s="2">
        <v>174</v>
      </c>
      <c r="B175" s="1">
        <v>45831</v>
      </c>
      <c r="C175" s="2" t="s">
        <v>5</v>
      </c>
      <c r="D175">
        <v>4794</v>
      </c>
      <c r="E175">
        <v>3093</v>
      </c>
      <c r="F175">
        <v>1216</v>
      </c>
      <c r="G175">
        <v>2361</v>
      </c>
      <c r="H175">
        <v>756</v>
      </c>
      <c r="I175">
        <v>0.421032246</v>
      </c>
      <c r="J175">
        <v>2.9018237789999999</v>
      </c>
      <c r="K175">
        <v>199</v>
      </c>
      <c r="L175">
        <v>1935</v>
      </c>
      <c r="M175" s="2">
        <v>9</v>
      </c>
      <c r="N175">
        <v>1.9354853590000001</v>
      </c>
      <c r="O175">
        <v>0.89040138499999999</v>
      </c>
      <c r="P175" t="b">
        <v>0</v>
      </c>
      <c r="Q175">
        <v>0.95829926399999998</v>
      </c>
      <c r="R175" s="2">
        <v>0</v>
      </c>
      <c r="S175" s="2" t="str">
        <f t="shared" si="9"/>
        <v>Jun</v>
      </c>
      <c r="T175">
        <f t="shared" si="10"/>
        <v>2025</v>
      </c>
      <c r="U175" s="2" t="str">
        <f t="shared" si="11"/>
        <v>Q2</v>
      </c>
      <c r="V175" t="str">
        <f t="shared" si="12"/>
        <v>Failed</v>
      </c>
    </row>
    <row r="176" spans="1:22" x14ac:dyDescent="0.3">
      <c r="A176" s="2">
        <v>175</v>
      </c>
      <c r="B176" s="1">
        <v>45832</v>
      </c>
      <c r="C176" s="2" t="s">
        <v>18</v>
      </c>
      <c r="D176">
        <v>2616</v>
      </c>
      <c r="E176">
        <v>1347</v>
      </c>
      <c r="F176">
        <v>1797</v>
      </c>
      <c r="G176">
        <v>2114</v>
      </c>
      <c r="H176">
        <v>275</v>
      </c>
      <c r="I176">
        <v>0.53131192800000004</v>
      </c>
      <c r="J176">
        <v>2.2704919979999998</v>
      </c>
      <c r="K176">
        <v>1058</v>
      </c>
      <c r="L176">
        <v>1879</v>
      </c>
      <c r="M176" s="2">
        <v>1</v>
      </c>
      <c r="N176">
        <v>1.9032548229999999</v>
      </c>
      <c r="O176">
        <v>0.985139553</v>
      </c>
      <c r="P176" t="b">
        <v>0</v>
      </c>
      <c r="Q176">
        <v>0.51308258399999995</v>
      </c>
      <c r="R176" s="2">
        <v>1</v>
      </c>
      <c r="S176" s="2" t="str">
        <f t="shared" si="9"/>
        <v>Jun</v>
      </c>
      <c r="T176">
        <f t="shared" si="10"/>
        <v>2025</v>
      </c>
      <c r="U176" s="2" t="str">
        <f t="shared" si="11"/>
        <v>Q2</v>
      </c>
      <c r="V176" t="str">
        <f t="shared" si="12"/>
        <v>Failed</v>
      </c>
    </row>
    <row r="177" spans="1:22" x14ac:dyDescent="0.3">
      <c r="A177" s="2">
        <v>176</v>
      </c>
      <c r="B177" s="1">
        <v>45833</v>
      </c>
      <c r="C177" s="2" t="s">
        <v>16</v>
      </c>
      <c r="D177">
        <v>2401</v>
      </c>
      <c r="E177">
        <v>2410</v>
      </c>
      <c r="F177">
        <v>1459</v>
      </c>
      <c r="G177">
        <v>4615</v>
      </c>
      <c r="H177">
        <v>1568</v>
      </c>
      <c r="I177">
        <v>0.489932596</v>
      </c>
      <c r="J177">
        <v>2.229825714</v>
      </c>
      <c r="K177">
        <v>4723</v>
      </c>
      <c r="L177">
        <v>2546</v>
      </c>
      <c r="M177" s="2">
        <v>1</v>
      </c>
      <c r="N177">
        <v>1.1203807880000001</v>
      </c>
      <c r="O177">
        <v>0.93094125900000002</v>
      </c>
      <c r="P177" t="b">
        <v>0</v>
      </c>
      <c r="Q177">
        <v>0.46913327900000001</v>
      </c>
      <c r="R177" s="2">
        <v>1</v>
      </c>
      <c r="S177" s="2" t="str">
        <f t="shared" si="9"/>
        <v>Jun</v>
      </c>
      <c r="T177">
        <f t="shared" si="10"/>
        <v>2025</v>
      </c>
      <c r="U177" s="2" t="str">
        <f t="shared" si="11"/>
        <v>Q2</v>
      </c>
      <c r="V177" t="str">
        <f t="shared" si="12"/>
        <v>Completed</v>
      </c>
    </row>
    <row r="178" spans="1:22" x14ac:dyDescent="0.3">
      <c r="A178" s="2">
        <v>177</v>
      </c>
      <c r="B178" s="1">
        <v>45834</v>
      </c>
      <c r="C178" s="2" t="s">
        <v>18</v>
      </c>
      <c r="D178">
        <v>505</v>
      </c>
      <c r="E178">
        <v>2417</v>
      </c>
      <c r="F178">
        <v>3132</v>
      </c>
      <c r="G178">
        <v>4732</v>
      </c>
      <c r="H178">
        <v>2588</v>
      </c>
      <c r="I178">
        <v>0.59754716699999999</v>
      </c>
      <c r="J178">
        <v>0.91686341599999999</v>
      </c>
      <c r="K178">
        <v>3965</v>
      </c>
      <c r="L178">
        <v>2253</v>
      </c>
      <c r="M178" s="2">
        <v>3</v>
      </c>
      <c r="N178">
        <v>0.64502881499999998</v>
      </c>
      <c r="O178">
        <v>0.99484482100000005</v>
      </c>
      <c r="P178" t="b">
        <v>1</v>
      </c>
      <c r="Q178">
        <v>8.1561732999999997E-2</v>
      </c>
      <c r="R178" s="2">
        <v>1</v>
      </c>
      <c r="S178" s="2" t="str">
        <f t="shared" si="9"/>
        <v>Jun</v>
      </c>
      <c r="T178">
        <f t="shared" si="10"/>
        <v>2025</v>
      </c>
      <c r="U178" s="2" t="str">
        <f t="shared" si="11"/>
        <v>Q2</v>
      </c>
      <c r="V178" t="str">
        <f t="shared" si="12"/>
        <v>Completed</v>
      </c>
    </row>
    <row r="179" spans="1:22" x14ac:dyDescent="0.3">
      <c r="A179" s="2">
        <v>178</v>
      </c>
      <c r="B179" s="1">
        <v>45835</v>
      </c>
      <c r="C179" s="2" t="s">
        <v>18</v>
      </c>
      <c r="D179">
        <v>3313</v>
      </c>
      <c r="E179">
        <v>3227</v>
      </c>
      <c r="F179">
        <v>2381</v>
      </c>
      <c r="G179">
        <v>1678</v>
      </c>
      <c r="H179">
        <v>1961</v>
      </c>
      <c r="I179">
        <v>0.59899705299999995</v>
      </c>
      <c r="J179">
        <v>1.5970237220000001</v>
      </c>
      <c r="K179">
        <v>984</v>
      </c>
      <c r="L179">
        <v>262</v>
      </c>
      <c r="M179" s="2">
        <v>5</v>
      </c>
      <c r="N179">
        <v>0.58537874499999998</v>
      </c>
      <c r="O179">
        <v>0.89434662899999995</v>
      </c>
      <c r="P179" t="b">
        <v>0</v>
      </c>
      <c r="Q179">
        <v>0.65556009800000004</v>
      </c>
      <c r="R179" s="2">
        <v>1</v>
      </c>
      <c r="S179" s="2" t="str">
        <f t="shared" si="9"/>
        <v>Jun</v>
      </c>
      <c r="T179">
        <f t="shared" si="10"/>
        <v>2025</v>
      </c>
      <c r="U179" s="2" t="str">
        <f t="shared" si="11"/>
        <v>Q2</v>
      </c>
      <c r="V179" t="str">
        <f t="shared" si="12"/>
        <v>Completed</v>
      </c>
    </row>
    <row r="180" spans="1:22" x14ac:dyDescent="0.3">
      <c r="A180" s="2">
        <v>179</v>
      </c>
      <c r="B180" s="1">
        <v>45836</v>
      </c>
      <c r="C180" s="2" t="s">
        <v>5</v>
      </c>
      <c r="D180">
        <v>1988</v>
      </c>
      <c r="E180">
        <v>1054</v>
      </c>
      <c r="F180">
        <v>2901</v>
      </c>
      <c r="G180">
        <v>822</v>
      </c>
      <c r="H180">
        <v>2553</v>
      </c>
      <c r="I180">
        <v>0.68911355100000005</v>
      </c>
      <c r="J180">
        <v>1.208599714</v>
      </c>
      <c r="K180">
        <v>3903</v>
      </c>
      <c r="L180">
        <v>1261</v>
      </c>
      <c r="M180" s="2">
        <v>4</v>
      </c>
      <c r="N180">
        <v>0.67202550800000005</v>
      </c>
      <c r="O180">
        <v>0.846921268</v>
      </c>
      <c r="P180" t="b">
        <v>0</v>
      </c>
      <c r="Q180">
        <v>0.38470973000000003</v>
      </c>
      <c r="R180" s="2">
        <v>1</v>
      </c>
      <c r="S180" s="2" t="str">
        <f t="shared" si="9"/>
        <v>Jun</v>
      </c>
      <c r="T180">
        <f t="shared" si="10"/>
        <v>2025</v>
      </c>
      <c r="U180" s="2" t="str">
        <f t="shared" si="11"/>
        <v>Q2</v>
      </c>
      <c r="V180" t="str">
        <f t="shared" si="12"/>
        <v>Completed</v>
      </c>
    </row>
    <row r="181" spans="1:22" x14ac:dyDescent="0.3">
      <c r="A181" s="2">
        <v>180</v>
      </c>
      <c r="B181" s="1">
        <v>45837</v>
      </c>
      <c r="C181" s="2" t="s">
        <v>16</v>
      </c>
      <c r="D181">
        <v>1574</v>
      </c>
      <c r="E181">
        <v>2689</v>
      </c>
      <c r="F181">
        <v>996</v>
      </c>
      <c r="G181">
        <v>1222</v>
      </c>
      <c r="H181">
        <v>1974</v>
      </c>
      <c r="I181">
        <v>0.78255906399999997</v>
      </c>
      <c r="J181">
        <v>1.02336535</v>
      </c>
      <c r="K181">
        <v>3109</v>
      </c>
      <c r="L181">
        <v>626</v>
      </c>
      <c r="M181" s="2">
        <v>4</v>
      </c>
      <c r="N181">
        <v>1.591572295</v>
      </c>
      <c r="O181">
        <v>0.96628892099999997</v>
      </c>
      <c r="P181" t="b">
        <v>0</v>
      </c>
      <c r="Q181">
        <v>0.30008176600000003</v>
      </c>
      <c r="R181" s="2">
        <v>1</v>
      </c>
      <c r="S181" s="2" t="str">
        <f t="shared" si="9"/>
        <v>Jun</v>
      </c>
      <c r="T181">
        <f t="shared" si="10"/>
        <v>2025</v>
      </c>
      <c r="U181" s="2" t="str">
        <f t="shared" si="11"/>
        <v>Q2</v>
      </c>
      <c r="V181" t="str">
        <f t="shared" si="12"/>
        <v>Completed</v>
      </c>
    </row>
    <row r="182" spans="1:22" x14ac:dyDescent="0.3">
      <c r="A182" s="2">
        <v>181</v>
      </c>
      <c r="B182" s="1">
        <v>45838</v>
      </c>
      <c r="C182" s="2" t="s">
        <v>17</v>
      </c>
      <c r="D182">
        <v>2283</v>
      </c>
      <c r="E182">
        <v>3000</v>
      </c>
      <c r="F182">
        <v>2681</v>
      </c>
      <c r="G182">
        <v>4587</v>
      </c>
      <c r="H182">
        <v>1000</v>
      </c>
      <c r="I182">
        <v>0.62781857699999999</v>
      </c>
      <c r="J182">
        <v>2.410599452</v>
      </c>
      <c r="K182">
        <v>4201</v>
      </c>
      <c r="L182">
        <v>1560</v>
      </c>
      <c r="M182" s="2">
        <v>4</v>
      </c>
      <c r="N182">
        <v>1.2079151379999999</v>
      </c>
      <c r="O182">
        <v>0.84315588900000005</v>
      </c>
      <c r="P182" t="b">
        <v>0</v>
      </c>
      <c r="Q182">
        <v>0.44501226500000002</v>
      </c>
      <c r="R182" s="2">
        <v>1</v>
      </c>
      <c r="S182" s="2" t="str">
        <f t="shared" si="9"/>
        <v>Jun</v>
      </c>
      <c r="T182">
        <f t="shared" si="10"/>
        <v>2025</v>
      </c>
      <c r="U182" s="2" t="str">
        <f t="shared" si="11"/>
        <v>Q2</v>
      </c>
      <c r="V182" t="str">
        <f t="shared" si="12"/>
        <v>Completed</v>
      </c>
    </row>
    <row r="183" spans="1:22" x14ac:dyDescent="0.3">
      <c r="A183" s="2">
        <v>182</v>
      </c>
      <c r="B183" s="1">
        <v>45839</v>
      </c>
      <c r="C183" s="2" t="s">
        <v>18</v>
      </c>
      <c r="D183">
        <v>1684</v>
      </c>
      <c r="E183">
        <v>1398</v>
      </c>
      <c r="F183">
        <v>2393</v>
      </c>
      <c r="G183">
        <v>3148</v>
      </c>
      <c r="H183">
        <v>3505</v>
      </c>
      <c r="I183">
        <v>0.53193889800000005</v>
      </c>
      <c r="J183">
        <v>2.1142935349999998</v>
      </c>
      <c r="K183">
        <v>826</v>
      </c>
      <c r="L183">
        <v>3675</v>
      </c>
      <c r="M183" s="2">
        <v>4</v>
      </c>
      <c r="N183">
        <v>1.1366507450000001</v>
      </c>
      <c r="O183">
        <v>0.89530774400000002</v>
      </c>
      <c r="P183" t="b">
        <v>0</v>
      </c>
      <c r="Q183">
        <v>0.322567457</v>
      </c>
      <c r="R183" s="2">
        <v>1</v>
      </c>
      <c r="S183" s="2" t="str">
        <f t="shared" si="9"/>
        <v>Jul</v>
      </c>
      <c r="T183">
        <f t="shared" si="10"/>
        <v>2025</v>
      </c>
      <c r="U183" s="2" t="str">
        <f t="shared" si="11"/>
        <v>Q3</v>
      </c>
      <c r="V183" t="str">
        <f t="shared" si="12"/>
        <v>Completed</v>
      </c>
    </row>
    <row r="184" spans="1:22" x14ac:dyDescent="0.3">
      <c r="A184" s="2">
        <v>183</v>
      </c>
      <c r="B184" s="1">
        <v>45840</v>
      </c>
      <c r="C184" s="2" t="s">
        <v>17</v>
      </c>
      <c r="D184">
        <v>3888</v>
      </c>
      <c r="E184">
        <v>1415</v>
      </c>
      <c r="F184">
        <v>1575</v>
      </c>
      <c r="G184">
        <v>4566</v>
      </c>
      <c r="H184">
        <v>815</v>
      </c>
      <c r="I184">
        <v>0.45874301200000001</v>
      </c>
      <c r="J184">
        <v>1.7091498329999999</v>
      </c>
      <c r="K184">
        <v>2273</v>
      </c>
      <c r="L184">
        <v>272</v>
      </c>
      <c r="M184" s="2">
        <v>5</v>
      </c>
      <c r="N184">
        <v>1.860009158</v>
      </c>
      <c r="O184">
        <v>0.88843518799999999</v>
      </c>
      <c r="P184" t="b">
        <v>0</v>
      </c>
      <c r="Q184">
        <v>0.77309893699999999</v>
      </c>
      <c r="R184" s="2">
        <v>1</v>
      </c>
      <c r="S184" s="2" t="str">
        <f t="shared" si="9"/>
        <v>Jul</v>
      </c>
      <c r="T184">
        <f t="shared" si="10"/>
        <v>2025</v>
      </c>
      <c r="U184" s="2" t="str">
        <f t="shared" si="11"/>
        <v>Q3</v>
      </c>
      <c r="V184" t="str">
        <f t="shared" si="12"/>
        <v>Completed</v>
      </c>
    </row>
    <row r="185" spans="1:22" x14ac:dyDescent="0.3">
      <c r="A185" s="2">
        <v>184</v>
      </c>
      <c r="B185" s="1">
        <v>45841</v>
      </c>
      <c r="C185" s="2" t="s">
        <v>17</v>
      </c>
      <c r="D185">
        <v>2824</v>
      </c>
      <c r="E185">
        <v>4318</v>
      </c>
      <c r="F185">
        <v>3070</v>
      </c>
      <c r="G185">
        <v>2143</v>
      </c>
      <c r="H185">
        <v>1620</v>
      </c>
      <c r="I185">
        <v>0.20585711300000001</v>
      </c>
      <c r="J185">
        <v>1.590129745</v>
      </c>
      <c r="K185">
        <v>1908</v>
      </c>
      <c r="L185">
        <v>3081</v>
      </c>
      <c r="M185" s="2">
        <v>7</v>
      </c>
      <c r="N185">
        <v>0.948651146</v>
      </c>
      <c r="O185">
        <v>0.90778937800000004</v>
      </c>
      <c r="P185" t="b">
        <v>0</v>
      </c>
      <c r="Q185">
        <v>0.55560098099999999</v>
      </c>
      <c r="R185" s="2">
        <v>1</v>
      </c>
      <c r="S185" s="2" t="str">
        <f t="shared" si="9"/>
        <v>Jul</v>
      </c>
      <c r="T185">
        <f t="shared" si="10"/>
        <v>2025</v>
      </c>
      <c r="U185" s="2" t="str">
        <f t="shared" si="11"/>
        <v>Q3</v>
      </c>
      <c r="V185" t="str">
        <f t="shared" si="12"/>
        <v>Completed</v>
      </c>
    </row>
    <row r="186" spans="1:22" x14ac:dyDescent="0.3">
      <c r="A186" s="2">
        <v>185</v>
      </c>
      <c r="B186" s="1">
        <v>45842</v>
      </c>
      <c r="C186" s="2" t="s">
        <v>16</v>
      </c>
      <c r="D186">
        <v>3897</v>
      </c>
      <c r="E186">
        <v>2854</v>
      </c>
      <c r="F186">
        <v>3775</v>
      </c>
      <c r="G186">
        <v>868</v>
      </c>
      <c r="H186">
        <v>3171</v>
      </c>
      <c r="I186">
        <v>0.27968343200000001</v>
      </c>
      <c r="J186">
        <v>1.9581352510000001</v>
      </c>
      <c r="K186">
        <v>3340</v>
      </c>
      <c r="L186">
        <v>279</v>
      </c>
      <c r="M186" s="2">
        <v>6</v>
      </c>
      <c r="N186">
        <v>1.828826928</v>
      </c>
      <c r="O186">
        <v>0.994793449</v>
      </c>
      <c r="P186" t="b">
        <v>0</v>
      </c>
      <c r="Q186">
        <v>0.77493867500000002</v>
      </c>
      <c r="R186" s="2">
        <v>0</v>
      </c>
      <c r="S186" s="2" t="str">
        <f t="shared" si="9"/>
        <v>Jul</v>
      </c>
      <c r="T186">
        <f t="shared" si="10"/>
        <v>2025</v>
      </c>
      <c r="U186" s="2" t="str">
        <f t="shared" si="11"/>
        <v>Q3</v>
      </c>
      <c r="V186" t="str">
        <f t="shared" si="12"/>
        <v>Completed</v>
      </c>
    </row>
    <row r="187" spans="1:22" x14ac:dyDescent="0.3">
      <c r="A187" s="2">
        <v>186</v>
      </c>
      <c r="B187" s="1">
        <v>45843</v>
      </c>
      <c r="C187" s="2" t="s">
        <v>16</v>
      </c>
      <c r="D187">
        <v>4697</v>
      </c>
      <c r="E187">
        <v>1634</v>
      </c>
      <c r="F187">
        <v>3366</v>
      </c>
      <c r="G187">
        <v>1618</v>
      </c>
      <c r="H187">
        <v>552</v>
      </c>
      <c r="I187">
        <v>0.30085403500000002</v>
      </c>
      <c r="J187">
        <v>2.7803318950000002</v>
      </c>
      <c r="K187">
        <v>3223</v>
      </c>
      <c r="L187">
        <v>2604</v>
      </c>
      <c r="M187" s="2">
        <v>2</v>
      </c>
      <c r="N187">
        <v>1.7306009570000001</v>
      </c>
      <c r="O187">
        <v>0.91243925599999998</v>
      </c>
      <c r="P187" t="b">
        <v>0</v>
      </c>
      <c r="Q187">
        <v>0.93847097300000004</v>
      </c>
      <c r="R187" s="2">
        <v>1</v>
      </c>
      <c r="S187" s="2" t="str">
        <f t="shared" si="9"/>
        <v>Jul</v>
      </c>
      <c r="T187">
        <f t="shared" si="10"/>
        <v>2025</v>
      </c>
      <c r="U187" s="2" t="str">
        <f t="shared" si="11"/>
        <v>Q3</v>
      </c>
      <c r="V187" t="str">
        <f t="shared" si="12"/>
        <v>Failed</v>
      </c>
    </row>
    <row r="188" spans="1:22" x14ac:dyDescent="0.3">
      <c r="A188" s="2">
        <v>187</v>
      </c>
      <c r="B188" s="1">
        <v>45844</v>
      </c>
      <c r="C188" s="2" t="s">
        <v>17</v>
      </c>
      <c r="D188">
        <v>3113</v>
      </c>
      <c r="E188">
        <v>2042</v>
      </c>
      <c r="F188">
        <v>2696</v>
      </c>
      <c r="G188">
        <v>2008</v>
      </c>
      <c r="H188">
        <v>3857</v>
      </c>
      <c r="I188">
        <v>0.75240975499999996</v>
      </c>
      <c r="J188">
        <v>0.82339790400000001</v>
      </c>
      <c r="K188">
        <v>4032</v>
      </c>
      <c r="L188">
        <v>2181</v>
      </c>
      <c r="M188" s="2">
        <v>6</v>
      </c>
      <c r="N188">
        <v>1.3138065240000001</v>
      </c>
      <c r="O188">
        <v>0.84912977999999995</v>
      </c>
      <c r="P188" t="b">
        <v>0</v>
      </c>
      <c r="Q188">
        <v>0.61467702400000002</v>
      </c>
      <c r="R188" s="2">
        <v>1</v>
      </c>
      <c r="S188" s="2" t="str">
        <f t="shared" si="9"/>
        <v>Jul</v>
      </c>
      <c r="T188">
        <f t="shared" si="10"/>
        <v>2025</v>
      </c>
      <c r="U188" s="2" t="str">
        <f t="shared" si="11"/>
        <v>Q3</v>
      </c>
      <c r="V188" t="str">
        <f t="shared" si="12"/>
        <v>Completed</v>
      </c>
    </row>
    <row r="189" spans="1:22" x14ac:dyDescent="0.3">
      <c r="A189" s="2">
        <v>188</v>
      </c>
      <c r="B189" s="1">
        <v>45845</v>
      </c>
      <c r="C189" s="2" t="s">
        <v>16</v>
      </c>
      <c r="D189">
        <v>2686</v>
      </c>
      <c r="E189">
        <v>2451</v>
      </c>
      <c r="F189">
        <v>292</v>
      </c>
      <c r="G189">
        <v>1156</v>
      </c>
      <c r="H189">
        <v>1389</v>
      </c>
      <c r="I189">
        <v>0.431528474</v>
      </c>
      <c r="J189">
        <v>1.8260223870000001</v>
      </c>
      <c r="K189">
        <v>2646</v>
      </c>
      <c r="L189">
        <v>3864</v>
      </c>
      <c r="M189" s="2">
        <v>1</v>
      </c>
      <c r="N189">
        <v>0.95088593200000004</v>
      </c>
      <c r="O189">
        <v>0.86723186600000002</v>
      </c>
      <c r="P189" t="b">
        <v>0</v>
      </c>
      <c r="Q189">
        <v>0.52739166000000004</v>
      </c>
      <c r="R189" s="2">
        <v>1</v>
      </c>
      <c r="S189" s="2" t="str">
        <f t="shared" si="9"/>
        <v>Jul</v>
      </c>
      <c r="T189">
        <f t="shared" si="10"/>
        <v>2025</v>
      </c>
      <c r="U189" s="2" t="str">
        <f t="shared" si="11"/>
        <v>Q3</v>
      </c>
      <c r="V189" t="str">
        <f t="shared" si="12"/>
        <v>Completed</v>
      </c>
    </row>
    <row r="190" spans="1:22" x14ac:dyDescent="0.3">
      <c r="A190" s="2">
        <v>189</v>
      </c>
      <c r="B190" s="1">
        <v>45846</v>
      </c>
      <c r="C190" s="2" t="s">
        <v>16</v>
      </c>
      <c r="D190">
        <v>4333</v>
      </c>
      <c r="E190">
        <v>4017</v>
      </c>
      <c r="F190">
        <v>3083</v>
      </c>
      <c r="G190">
        <v>3915</v>
      </c>
      <c r="H190">
        <v>2170</v>
      </c>
      <c r="I190">
        <v>0.62815096800000003</v>
      </c>
      <c r="J190">
        <v>1.035718425</v>
      </c>
      <c r="K190">
        <v>4524</v>
      </c>
      <c r="L190">
        <v>872</v>
      </c>
      <c r="M190" s="2">
        <v>9</v>
      </c>
      <c r="N190">
        <v>0.82873761199999996</v>
      </c>
      <c r="O190">
        <v>0.87828045799999999</v>
      </c>
      <c r="P190" t="b">
        <v>0</v>
      </c>
      <c r="Q190">
        <v>0.864063778</v>
      </c>
      <c r="R190" s="2">
        <v>1</v>
      </c>
      <c r="S190" s="2" t="str">
        <f t="shared" si="9"/>
        <v>Jul</v>
      </c>
      <c r="T190">
        <f t="shared" si="10"/>
        <v>2025</v>
      </c>
      <c r="U190" s="2" t="str">
        <f t="shared" si="11"/>
        <v>Q3</v>
      </c>
      <c r="V190" t="str">
        <f t="shared" si="12"/>
        <v>Completed</v>
      </c>
    </row>
    <row r="191" spans="1:22" x14ac:dyDescent="0.3">
      <c r="A191" s="2">
        <v>190</v>
      </c>
      <c r="B191" s="1">
        <v>45847</v>
      </c>
      <c r="C191" s="2" t="s">
        <v>5</v>
      </c>
      <c r="D191">
        <v>2976</v>
      </c>
      <c r="E191">
        <v>3340</v>
      </c>
      <c r="F191">
        <v>2774</v>
      </c>
      <c r="G191">
        <v>2546</v>
      </c>
      <c r="H191">
        <v>3943</v>
      </c>
      <c r="I191">
        <v>0.45286332099999999</v>
      </c>
      <c r="J191">
        <v>1.0570929520000001</v>
      </c>
      <c r="K191">
        <v>502</v>
      </c>
      <c r="L191">
        <v>3681</v>
      </c>
      <c r="M191" s="2">
        <v>2</v>
      </c>
      <c r="N191">
        <v>1.642658806</v>
      </c>
      <c r="O191">
        <v>0.92785698699999997</v>
      </c>
      <c r="P191" t="b">
        <v>1</v>
      </c>
      <c r="Q191">
        <v>0.58667211799999996</v>
      </c>
      <c r="R191" s="2">
        <v>0</v>
      </c>
      <c r="S191" s="2" t="str">
        <f t="shared" si="9"/>
        <v>Jul</v>
      </c>
      <c r="T191">
        <f t="shared" si="10"/>
        <v>2025</v>
      </c>
      <c r="U191" s="2" t="str">
        <f t="shared" si="11"/>
        <v>Q3</v>
      </c>
      <c r="V191" t="str">
        <f t="shared" si="12"/>
        <v>Completed</v>
      </c>
    </row>
    <row r="192" spans="1:22" x14ac:dyDescent="0.3">
      <c r="A192" s="2">
        <v>191</v>
      </c>
      <c r="B192" s="1">
        <v>45848</v>
      </c>
      <c r="C192" s="2" t="s">
        <v>17</v>
      </c>
      <c r="D192">
        <v>1594</v>
      </c>
      <c r="E192">
        <v>979</v>
      </c>
      <c r="F192">
        <v>1195</v>
      </c>
      <c r="G192">
        <v>3162</v>
      </c>
      <c r="H192">
        <v>2914</v>
      </c>
      <c r="I192">
        <v>0.23081215499999999</v>
      </c>
      <c r="J192">
        <v>1.759691613</v>
      </c>
      <c r="K192">
        <v>4107</v>
      </c>
      <c r="L192">
        <v>2078</v>
      </c>
      <c r="M192" s="2">
        <v>3</v>
      </c>
      <c r="N192">
        <v>1.119102872</v>
      </c>
      <c r="O192">
        <v>0.94733609399999996</v>
      </c>
      <c r="P192" t="b">
        <v>0</v>
      </c>
      <c r="Q192">
        <v>0.30417007400000001</v>
      </c>
      <c r="R192" s="2">
        <v>1</v>
      </c>
      <c r="S192" s="2" t="str">
        <f t="shared" si="9"/>
        <v>Jul</v>
      </c>
      <c r="T192">
        <f t="shared" si="10"/>
        <v>2025</v>
      </c>
      <c r="U192" s="2" t="str">
        <f t="shared" si="11"/>
        <v>Q3</v>
      </c>
      <c r="V192" t="str">
        <f t="shared" si="12"/>
        <v>Failed</v>
      </c>
    </row>
    <row r="193" spans="1:22" x14ac:dyDescent="0.3">
      <c r="A193" s="2">
        <v>192</v>
      </c>
      <c r="B193" s="1">
        <v>45849</v>
      </c>
      <c r="C193" s="2" t="s">
        <v>16</v>
      </c>
      <c r="D193">
        <v>2209</v>
      </c>
      <c r="E193">
        <v>4231</v>
      </c>
      <c r="F193">
        <v>394</v>
      </c>
      <c r="G193">
        <v>1091</v>
      </c>
      <c r="H193">
        <v>3913</v>
      </c>
      <c r="I193">
        <v>0.36136568800000002</v>
      </c>
      <c r="J193">
        <v>1.6423847110000001</v>
      </c>
      <c r="K193">
        <v>1236</v>
      </c>
      <c r="L193">
        <v>819</v>
      </c>
      <c r="M193" s="2">
        <v>7</v>
      </c>
      <c r="N193">
        <v>1.5497294049999999</v>
      </c>
      <c r="O193">
        <v>0.84964452199999996</v>
      </c>
      <c r="P193" t="b">
        <v>0</v>
      </c>
      <c r="Q193">
        <v>0.42988552699999999</v>
      </c>
      <c r="R193" s="2">
        <v>1</v>
      </c>
      <c r="S193" s="2" t="str">
        <f t="shared" si="9"/>
        <v>Jul</v>
      </c>
      <c r="T193">
        <f t="shared" si="10"/>
        <v>2025</v>
      </c>
      <c r="U193" s="2" t="str">
        <f t="shared" si="11"/>
        <v>Q3</v>
      </c>
      <c r="V193" t="str">
        <f t="shared" si="12"/>
        <v>Completed</v>
      </c>
    </row>
    <row r="194" spans="1:22" x14ac:dyDescent="0.3">
      <c r="A194" s="2">
        <v>193</v>
      </c>
      <c r="B194" s="1">
        <v>45850</v>
      </c>
      <c r="C194" s="2" t="s">
        <v>18</v>
      </c>
      <c r="D194">
        <v>1404</v>
      </c>
      <c r="E194">
        <v>4017</v>
      </c>
      <c r="F194">
        <v>1578</v>
      </c>
      <c r="G194">
        <v>4450</v>
      </c>
      <c r="H194">
        <v>1917</v>
      </c>
      <c r="I194">
        <v>0.278418159</v>
      </c>
      <c r="J194">
        <v>0.55287500000000001</v>
      </c>
      <c r="K194">
        <v>156</v>
      </c>
      <c r="L194">
        <v>868</v>
      </c>
      <c r="M194" s="2">
        <v>3</v>
      </c>
      <c r="N194">
        <v>1.9169544709999999</v>
      </c>
      <c r="O194">
        <v>0.98688904099999997</v>
      </c>
      <c r="P194" t="b">
        <v>1</v>
      </c>
      <c r="Q194">
        <v>0.26533115299999999</v>
      </c>
      <c r="R194" s="2">
        <v>1</v>
      </c>
      <c r="S194" s="2" t="str">
        <f t="shared" ref="S194:S257" si="13">TEXT(B194,"MMM")</f>
        <v>Jul</v>
      </c>
      <c r="T194">
        <f t="shared" ref="T194:T257" si="14">YEAR(B194)</f>
        <v>2025</v>
      </c>
      <c r="U194" s="2" t="str">
        <f t="shared" si="11"/>
        <v>Q3</v>
      </c>
      <c r="V194" t="str">
        <f t="shared" si="12"/>
        <v>Completed</v>
      </c>
    </row>
    <row r="195" spans="1:22" x14ac:dyDescent="0.3">
      <c r="A195" s="2">
        <v>194</v>
      </c>
      <c r="B195" s="1">
        <v>45851</v>
      </c>
      <c r="C195" s="2" t="s">
        <v>18</v>
      </c>
      <c r="D195">
        <v>1831</v>
      </c>
      <c r="E195">
        <v>2907</v>
      </c>
      <c r="F195">
        <v>3087</v>
      </c>
      <c r="G195">
        <v>1125</v>
      </c>
      <c r="H195">
        <v>2292</v>
      </c>
      <c r="I195">
        <v>0.62373658499999995</v>
      </c>
      <c r="J195">
        <v>1.0395250380000001</v>
      </c>
      <c r="K195">
        <v>1029</v>
      </c>
      <c r="L195">
        <v>1783</v>
      </c>
      <c r="M195" s="2">
        <v>3</v>
      </c>
      <c r="N195">
        <v>1.383727997</v>
      </c>
      <c r="O195">
        <v>0.96873683700000002</v>
      </c>
      <c r="P195" t="b">
        <v>0</v>
      </c>
      <c r="Q195">
        <v>0.35261651700000002</v>
      </c>
      <c r="R195" s="2">
        <v>1</v>
      </c>
      <c r="S195" s="2" t="str">
        <f t="shared" si="13"/>
        <v>Jul</v>
      </c>
      <c r="T195">
        <f t="shared" si="14"/>
        <v>2025</v>
      </c>
      <c r="U195" s="2" t="str">
        <f t="shared" ref="U195:U258" si="15">"Q"&amp;ROUNDUP(MONTH(B195)/3,0)</f>
        <v>Q3</v>
      </c>
      <c r="V195" t="str">
        <f t="shared" si="12"/>
        <v>Completed</v>
      </c>
    </row>
    <row r="196" spans="1:22" x14ac:dyDescent="0.3">
      <c r="A196" s="2">
        <v>195</v>
      </c>
      <c r="B196" s="1">
        <v>45852</v>
      </c>
      <c r="C196" s="2" t="s">
        <v>5</v>
      </c>
      <c r="D196">
        <v>1723</v>
      </c>
      <c r="E196">
        <v>2285</v>
      </c>
      <c r="F196">
        <v>1011</v>
      </c>
      <c r="G196">
        <v>3181</v>
      </c>
      <c r="H196">
        <v>1039</v>
      </c>
      <c r="I196">
        <v>0.52076208099999999</v>
      </c>
      <c r="J196">
        <v>0.61655145899999997</v>
      </c>
      <c r="K196">
        <v>4797</v>
      </c>
      <c r="L196">
        <v>3295</v>
      </c>
      <c r="M196" s="2">
        <v>4</v>
      </c>
      <c r="N196">
        <v>1.1488860759999999</v>
      </c>
      <c r="O196">
        <v>0.97587244699999998</v>
      </c>
      <c r="P196" t="b">
        <v>1</v>
      </c>
      <c r="Q196">
        <v>0.33053965699999999</v>
      </c>
      <c r="R196" s="2">
        <v>1</v>
      </c>
      <c r="S196" s="2" t="str">
        <f t="shared" si="13"/>
        <v>Jul</v>
      </c>
      <c r="T196">
        <f t="shared" si="14"/>
        <v>2025</v>
      </c>
      <c r="U196" s="2" t="str">
        <f t="shared" si="15"/>
        <v>Q3</v>
      </c>
      <c r="V196" t="str">
        <f t="shared" ref="V196:V259" si="16">IF(R195=1,"Completed","Failed")</f>
        <v>Completed</v>
      </c>
    </row>
    <row r="197" spans="1:22" x14ac:dyDescent="0.3">
      <c r="A197" s="2">
        <v>196</v>
      </c>
      <c r="B197" s="1">
        <v>45853</v>
      </c>
      <c r="C197" s="2" t="s">
        <v>18</v>
      </c>
      <c r="D197">
        <v>455</v>
      </c>
      <c r="E197">
        <v>2509</v>
      </c>
      <c r="F197">
        <v>1940</v>
      </c>
      <c r="G197">
        <v>461</v>
      </c>
      <c r="H197">
        <v>580</v>
      </c>
      <c r="I197">
        <v>0.48715342</v>
      </c>
      <c r="J197">
        <v>2.9006671769999999</v>
      </c>
      <c r="K197">
        <v>4130</v>
      </c>
      <c r="L197">
        <v>3000</v>
      </c>
      <c r="M197" s="2">
        <v>9</v>
      </c>
      <c r="N197">
        <v>1.760648035</v>
      </c>
      <c r="O197">
        <v>0.85879610399999995</v>
      </c>
      <c r="P197" t="b">
        <v>0</v>
      </c>
      <c r="Q197">
        <v>7.1340965000000006E-2</v>
      </c>
      <c r="R197" s="2">
        <v>1</v>
      </c>
      <c r="S197" s="2" t="str">
        <f t="shared" si="13"/>
        <v>Jul</v>
      </c>
      <c r="T197">
        <f t="shared" si="14"/>
        <v>2025</v>
      </c>
      <c r="U197" s="2" t="str">
        <f t="shared" si="15"/>
        <v>Q3</v>
      </c>
      <c r="V197" t="str">
        <f t="shared" si="16"/>
        <v>Completed</v>
      </c>
    </row>
    <row r="198" spans="1:22" x14ac:dyDescent="0.3">
      <c r="A198" s="2">
        <v>197</v>
      </c>
      <c r="B198" s="1">
        <v>45854</v>
      </c>
      <c r="C198" s="2" t="s">
        <v>18</v>
      </c>
      <c r="D198">
        <v>1359</v>
      </c>
      <c r="E198">
        <v>1224</v>
      </c>
      <c r="F198">
        <v>916</v>
      </c>
      <c r="G198">
        <v>1597</v>
      </c>
      <c r="H198">
        <v>3411</v>
      </c>
      <c r="I198">
        <v>0.73245067600000002</v>
      </c>
      <c r="J198">
        <v>1.8203247300000001</v>
      </c>
      <c r="K198">
        <v>1538</v>
      </c>
      <c r="L198">
        <v>607</v>
      </c>
      <c r="M198" s="2">
        <v>7</v>
      </c>
      <c r="N198">
        <v>1.9390303360000001</v>
      </c>
      <c r="O198">
        <v>0.89102196</v>
      </c>
      <c r="P198" t="b">
        <v>0</v>
      </c>
      <c r="Q198">
        <v>0.25613246099999998</v>
      </c>
      <c r="R198" s="2">
        <v>1</v>
      </c>
      <c r="S198" s="2" t="str">
        <f t="shared" si="13"/>
        <v>Jul</v>
      </c>
      <c r="T198">
        <f t="shared" si="14"/>
        <v>2025</v>
      </c>
      <c r="U198" s="2" t="str">
        <f t="shared" si="15"/>
        <v>Q3</v>
      </c>
      <c r="V198" t="str">
        <f t="shared" si="16"/>
        <v>Completed</v>
      </c>
    </row>
    <row r="199" spans="1:22" x14ac:dyDescent="0.3">
      <c r="A199" s="2">
        <v>198</v>
      </c>
      <c r="B199" s="1">
        <v>45855</v>
      </c>
      <c r="C199" s="2" t="s">
        <v>18</v>
      </c>
      <c r="D199">
        <v>288</v>
      </c>
      <c r="E199">
        <v>529</v>
      </c>
      <c r="F199">
        <v>1361</v>
      </c>
      <c r="G199">
        <v>2535</v>
      </c>
      <c r="H199">
        <v>1143</v>
      </c>
      <c r="I199">
        <v>0.64892918700000002</v>
      </c>
      <c r="J199">
        <v>1.237424579</v>
      </c>
      <c r="K199">
        <v>2066</v>
      </c>
      <c r="L199">
        <v>2815</v>
      </c>
      <c r="M199" s="2">
        <v>1</v>
      </c>
      <c r="N199">
        <v>1.6783503980000001</v>
      </c>
      <c r="O199">
        <v>0.84678029200000005</v>
      </c>
      <c r="P199" t="b">
        <v>0</v>
      </c>
      <c r="Q199">
        <v>3.7203597999999997E-2</v>
      </c>
      <c r="R199" s="2">
        <v>1</v>
      </c>
      <c r="S199" s="2" t="str">
        <f t="shared" si="13"/>
        <v>Jul</v>
      </c>
      <c r="T199">
        <f t="shared" si="14"/>
        <v>2025</v>
      </c>
      <c r="U199" s="2" t="str">
        <f t="shared" si="15"/>
        <v>Q3</v>
      </c>
      <c r="V199" t="str">
        <f t="shared" si="16"/>
        <v>Completed</v>
      </c>
    </row>
    <row r="200" spans="1:22" x14ac:dyDescent="0.3">
      <c r="A200" s="2">
        <v>199</v>
      </c>
      <c r="B200" s="1">
        <v>45856</v>
      </c>
      <c r="C200" s="2" t="s">
        <v>16</v>
      </c>
      <c r="D200">
        <v>2566</v>
      </c>
      <c r="E200">
        <v>1896</v>
      </c>
      <c r="F200">
        <v>708</v>
      </c>
      <c r="G200">
        <v>3887</v>
      </c>
      <c r="H200">
        <v>2438</v>
      </c>
      <c r="I200">
        <v>0.55208806700000002</v>
      </c>
      <c r="J200">
        <v>1.5603130190000001</v>
      </c>
      <c r="K200">
        <v>1438</v>
      </c>
      <c r="L200">
        <v>1267</v>
      </c>
      <c r="M200" s="2">
        <v>6</v>
      </c>
      <c r="N200">
        <v>1.0179546660000001</v>
      </c>
      <c r="O200">
        <v>0.80096255900000002</v>
      </c>
      <c r="P200" t="b">
        <v>0</v>
      </c>
      <c r="Q200">
        <v>0.50286181500000005</v>
      </c>
      <c r="R200" s="2">
        <v>1</v>
      </c>
      <c r="S200" s="2" t="str">
        <f t="shared" si="13"/>
        <v>Jul</v>
      </c>
      <c r="T200">
        <f t="shared" si="14"/>
        <v>2025</v>
      </c>
      <c r="U200" s="2" t="str">
        <f t="shared" si="15"/>
        <v>Q3</v>
      </c>
      <c r="V200" t="str">
        <f t="shared" si="16"/>
        <v>Completed</v>
      </c>
    </row>
    <row r="201" spans="1:22" x14ac:dyDescent="0.3">
      <c r="A201" s="2">
        <v>200</v>
      </c>
      <c r="B201" s="1">
        <v>45857</v>
      </c>
      <c r="C201" s="2" t="s">
        <v>5</v>
      </c>
      <c r="D201">
        <v>3497</v>
      </c>
      <c r="E201">
        <v>1251</v>
      </c>
      <c r="F201">
        <v>441</v>
      </c>
      <c r="G201">
        <v>677</v>
      </c>
      <c r="H201">
        <v>561</v>
      </c>
      <c r="I201">
        <v>0.30469490199999999</v>
      </c>
      <c r="J201">
        <v>1.2729889860000001</v>
      </c>
      <c r="K201">
        <v>2527</v>
      </c>
      <c r="L201">
        <v>875</v>
      </c>
      <c r="M201" s="2">
        <v>3</v>
      </c>
      <c r="N201">
        <v>1.0743554909999999</v>
      </c>
      <c r="O201">
        <v>0.852968328</v>
      </c>
      <c r="P201" t="b">
        <v>0</v>
      </c>
      <c r="Q201">
        <v>0.69317252699999998</v>
      </c>
      <c r="R201" s="2">
        <v>1</v>
      </c>
      <c r="S201" s="2" t="str">
        <f t="shared" si="13"/>
        <v>Jul</v>
      </c>
      <c r="T201">
        <f t="shared" si="14"/>
        <v>2025</v>
      </c>
      <c r="U201" s="2" t="str">
        <f t="shared" si="15"/>
        <v>Q3</v>
      </c>
      <c r="V201" t="str">
        <f t="shared" si="16"/>
        <v>Completed</v>
      </c>
    </row>
    <row r="202" spans="1:22" x14ac:dyDescent="0.3">
      <c r="A202" s="2">
        <v>201</v>
      </c>
      <c r="B202" s="1">
        <v>45858</v>
      </c>
      <c r="C202" s="2" t="s">
        <v>18</v>
      </c>
      <c r="D202">
        <v>1993</v>
      </c>
      <c r="E202">
        <v>879</v>
      </c>
      <c r="F202">
        <v>730</v>
      </c>
      <c r="G202">
        <v>3173</v>
      </c>
      <c r="H202">
        <v>2680</v>
      </c>
      <c r="I202">
        <v>0.74728703299999999</v>
      </c>
      <c r="J202">
        <v>1.013481042</v>
      </c>
      <c r="K202">
        <v>3473</v>
      </c>
      <c r="L202">
        <v>2481</v>
      </c>
      <c r="M202" s="2">
        <v>6</v>
      </c>
      <c r="N202">
        <v>1.9281522250000001</v>
      </c>
      <c r="O202">
        <v>0.98771805800000001</v>
      </c>
      <c r="P202" t="b">
        <v>0</v>
      </c>
      <c r="Q202">
        <v>0.38573180699999998</v>
      </c>
      <c r="R202" s="2">
        <v>1</v>
      </c>
      <c r="S202" s="2" t="str">
        <f t="shared" si="13"/>
        <v>Jul</v>
      </c>
      <c r="T202">
        <f t="shared" si="14"/>
        <v>2025</v>
      </c>
      <c r="U202" s="2" t="str">
        <f t="shared" si="15"/>
        <v>Q3</v>
      </c>
      <c r="V202" t="str">
        <f t="shared" si="16"/>
        <v>Completed</v>
      </c>
    </row>
    <row r="203" spans="1:22" x14ac:dyDescent="0.3">
      <c r="A203" s="2">
        <v>202</v>
      </c>
      <c r="B203" s="1">
        <v>45859</v>
      </c>
      <c r="C203" s="2" t="s">
        <v>16</v>
      </c>
      <c r="D203">
        <v>4380</v>
      </c>
      <c r="E203">
        <v>2398</v>
      </c>
      <c r="F203">
        <v>3454</v>
      </c>
      <c r="G203">
        <v>2783</v>
      </c>
      <c r="H203">
        <v>3226</v>
      </c>
      <c r="I203">
        <v>0.66865526399999997</v>
      </c>
      <c r="J203">
        <v>1.660205127</v>
      </c>
      <c r="K203">
        <v>2074</v>
      </c>
      <c r="L203">
        <v>2112</v>
      </c>
      <c r="M203" s="2">
        <v>1</v>
      </c>
      <c r="N203">
        <v>0.81874316800000002</v>
      </c>
      <c r="O203">
        <v>0.90902302599999996</v>
      </c>
      <c r="P203" t="b">
        <v>0</v>
      </c>
      <c r="Q203">
        <v>0.87367130000000004</v>
      </c>
      <c r="R203" s="2">
        <v>1</v>
      </c>
      <c r="S203" s="2" t="str">
        <f t="shared" si="13"/>
        <v>Jul</v>
      </c>
      <c r="T203">
        <f t="shared" si="14"/>
        <v>2025</v>
      </c>
      <c r="U203" s="2" t="str">
        <f t="shared" si="15"/>
        <v>Q3</v>
      </c>
      <c r="V203" t="str">
        <f t="shared" si="16"/>
        <v>Completed</v>
      </c>
    </row>
    <row r="204" spans="1:22" x14ac:dyDescent="0.3">
      <c r="A204" s="2">
        <v>203</v>
      </c>
      <c r="B204" s="1">
        <v>45860</v>
      </c>
      <c r="C204" s="2" t="s">
        <v>16</v>
      </c>
      <c r="D204">
        <v>644</v>
      </c>
      <c r="E204">
        <v>577</v>
      </c>
      <c r="F204">
        <v>3817</v>
      </c>
      <c r="G204">
        <v>3041</v>
      </c>
      <c r="H204">
        <v>667</v>
      </c>
      <c r="I204">
        <v>0.36091374100000001</v>
      </c>
      <c r="J204">
        <v>1.674301418</v>
      </c>
      <c r="K204">
        <v>2765</v>
      </c>
      <c r="L204">
        <v>1195</v>
      </c>
      <c r="M204" s="2">
        <v>4</v>
      </c>
      <c r="N204">
        <v>0.70410256100000002</v>
      </c>
      <c r="O204">
        <v>0.87382625899999999</v>
      </c>
      <c r="P204" t="b">
        <v>0</v>
      </c>
      <c r="Q204">
        <v>0.10997547000000001</v>
      </c>
      <c r="R204" s="2">
        <v>1</v>
      </c>
      <c r="S204" s="2" t="str">
        <f t="shared" si="13"/>
        <v>Jul</v>
      </c>
      <c r="T204">
        <f t="shared" si="14"/>
        <v>2025</v>
      </c>
      <c r="U204" s="2" t="str">
        <f t="shared" si="15"/>
        <v>Q3</v>
      </c>
      <c r="V204" t="str">
        <f t="shared" si="16"/>
        <v>Completed</v>
      </c>
    </row>
    <row r="205" spans="1:22" x14ac:dyDescent="0.3">
      <c r="A205" s="2">
        <v>204</v>
      </c>
      <c r="B205" s="1">
        <v>45861</v>
      </c>
      <c r="C205" s="2" t="s">
        <v>17</v>
      </c>
      <c r="D205">
        <v>2106</v>
      </c>
      <c r="E205">
        <v>3244</v>
      </c>
      <c r="F205">
        <v>1017</v>
      </c>
      <c r="G205">
        <v>2320</v>
      </c>
      <c r="H205">
        <v>2354</v>
      </c>
      <c r="I205">
        <v>0.26859466700000001</v>
      </c>
      <c r="J205">
        <v>1.558066738</v>
      </c>
      <c r="K205">
        <v>2756</v>
      </c>
      <c r="L205">
        <v>1076</v>
      </c>
      <c r="M205" s="2">
        <v>7</v>
      </c>
      <c r="N205">
        <v>0.98742524899999995</v>
      </c>
      <c r="O205">
        <v>0.93652146300000005</v>
      </c>
      <c r="P205" t="b">
        <v>0</v>
      </c>
      <c r="Q205">
        <v>0.40883074400000002</v>
      </c>
      <c r="R205" s="2">
        <v>1</v>
      </c>
      <c r="S205" s="2" t="str">
        <f t="shared" si="13"/>
        <v>Jul</v>
      </c>
      <c r="T205">
        <f t="shared" si="14"/>
        <v>2025</v>
      </c>
      <c r="U205" s="2" t="str">
        <f t="shared" si="15"/>
        <v>Q3</v>
      </c>
      <c r="V205" t="str">
        <f t="shared" si="16"/>
        <v>Completed</v>
      </c>
    </row>
    <row r="206" spans="1:22" x14ac:dyDescent="0.3">
      <c r="A206" s="2">
        <v>205</v>
      </c>
      <c r="B206" s="1">
        <v>45862</v>
      </c>
      <c r="C206" s="2" t="s">
        <v>18</v>
      </c>
      <c r="D206">
        <v>3028</v>
      </c>
      <c r="E206">
        <v>1579</v>
      </c>
      <c r="F206">
        <v>1536</v>
      </c>
      <c r="G206">
        <v>4493</v>
      </c>
      <c r="H206">
        <v>1603</v>
      </c>
      <c r="I206">
        <v>0.50101910299999997</v>
      </c>
      <c r="J206">
        <v>2.3115727239999999</v>
      </c>
      <c r="K206">
        <v>3062</v>
      </c>
      <c r="L206">
        <v>3724</v>
      </c>
      <c r="M206" s="2">
        <v>1</v>
      </c>
      <c r="N206">
        <v>0.79635158299999997</v>
      </c>
      <c r="O206">
        <v>0.92103614899999997</v>
      </c>
      <c r="P206" t="b">
        <v>0</v>
      </c>
      <c r="Q206">
        <v>0.59730171700000001</v>
      </c>
      <c r="R206" s="2">
        <v>1</v>
      </c>
      <c r="S206" s="2" t="str">
        <f t="shared" si="13"/>
        <v>Jul</v>
      </c>
      <c r="T206">
        <f t="shared" si="14"/>
        <v>2025</v>
      </c>
      <c r="U206" s="2" t="str">
        <f t="shared" si="15"/>
        <v>Q3</v>
      </c>
      <c r="V206" t="str">
        <f t="shared" si="16"/>
        <v>Completed</v>
      </c>
    </row>
    <row r="207" spans="1:22" x14ac:dyDescent="0.3">
      <c r="A207" s="2">
        <v>206</v>
      </c>
      <c r="B207" s="1">
        <v>45863</v>
      </c>
      <c r="C207" s="2" t="s">
        <v>18</v>
      </c>
      <c r="D207">
        <v>419</v>
      </c>
      <c r="E207">
        <v>3620</v>
      </c>
      <c r="F207">
        <v>1882</v>
      </c>
      <c r="G207">
        <v>2001</v>
      </c>
      <c r="H207">
        <v>3980</v>
      </c>
      <c r="I207">
        <v>0.37651703600000003</v>
      </c>
      <c r="J207">
        <v>2.7294735480000001</v>
      </c>
      <c r="K207">
        <v>620</v>
      </c>
      <c r="L207">
        <v>3262</v>
      </c>
      <c r="M207" s="2">
        <v>1</v>
      </c>
      <c r="N207">
        <v>0.56544245299999996</v>
      </c>
      <c r="O207">
        <v>0.90090775499999998</v>
      </c>
      <c r="P207" t="b">
        <v>0</v>
      </c>
      <c r="Q207">
        <v>6.3982011000000005E-2</v>
      </c>
      <c r="R207" s="2">
        <v>1</v>
      </c>
      <c r="S207" s="2" t="str">
        <f t="shared" si="13"/>
        <v>Jul</v>
      </c>
      <c r="T207">
        <f t="shared" si="14"/>
        <v>2025</v>
      </c>
      <c r="U207" s="2" t="str">
        <f t="shared" si="15"/>
        <v>Q3</v>
      </c>
      <c r="V207" t="str">
        <f t="shared" si="16"/>
        <v>Completed</v>
      </c>
    </row>
    <row r="208" spans="1:22" x14ac:dyDescent="0.3">
      <c r="A208" s="2">
        <v>207</v>
      </c>
      <c r="B208" s="1">
        <v>45864</v>
      </c>
      <c r="C208" s="2" t="s">
        <v>5</v>
      </c>
      <c r="D208">
        <v>4057</v>
      </c>
      <c r="E208">
        <v>1466</v>
      </c>
      <c r="F208">
        <v>3542</v>
      </c>
      <c r="G208">
        <v>1538</v>
      </c>
      <c r="H208">
        <v>3136</v>
      </c>
      <c r="I208">
        <v>0.62064339899999998</v>
      </c>
      <c r="J208">
        <v>0.70602009399999999</v>
      </c>
      <c r="K208">
        <v>1946</v>
      </c>
      <c r="L208">
        <v>1391</v>
      </c>
      <c r="M208" s="2">
        <v>6</v>
      </c>
      <c r="N208">
        <v>1.629283367</v>
      </c>
      <c r="O208">
        <v>0.88433542700000001</v>
      </c>
      <c r="P208" t="b">
        <v>0</v>
      </c>
      <c r="Q208">
        <v>0.80764513500000001</v>
      </c>
      <c r="R208" s="2">
        <v>1</v>
      </c>
      <c r="S208" s="2" t="str">
        <f t="shared" si="13"/>
        <v>Jul</v>
      </c>
      <c r="T208">
        <f t="shared" si="14"/>
        <v>2025</v>
      </c>
      <c r="U208" s="2" t="str">
        <f t="shared" si="15"/>
        <v>Q3</v>
      </c>
      <c r="V208" t="str">
        <f t="shared" si="16"/>
        <v>Completed</v>
      </c>
    </row>
    <row r="209" spans="1:22" x14ac:dyDescent="0.3">
      <c r="A209" s="2">
        <v>208</v>
      </c>
      <c r="B209" s="1">
        <v>45865</v>
      </c>
      <c r="C209" s="2" t="s">
        <v>16</v>
      </c>
      <c r="D209">
        <v>4072</v>
      </c>
      <c r="E209">
        <v>2302</v>
      </c>
      <c r="F209">
        <v>2941</v>
      </c>
      <c r="G209">
        <v>1722</v>
      </c>
      <c r="H209">
        <v>3627</v>
      </c>
      <c r="I209">
        <v>0.203847061</v>
      </c>
      <c r="J209">
        <v>1.9335094719999999</v>
      </c>
      <c r="K209">
        <v>3089</v>
      </c>
      <c r="L209">
        <v>3354</v>
      </c>
      <c r="M209" s="2">
        <v>1</v>
      </c>
      <c r="N209">
        <v>0.93410411100000001</v>
      </c>
      <c r="O209">
        <v>0.95479435700000004</v>
      </c>
      <c r="P209" t="b">
        <v>0</v>
      </c>
      <c r="Q209">
        <v>0.81071136499999996</v>
      </c>
      <c r="R209" s="2">
        <v>1</v>
      </c>
      <c r="S209" s="2" t="str">
        <f t="shared" si="13"/>
        <v>Jul</v>
      </c>
      <c r="T209">
        <f t="shared" si="14"/>
        <v>2025</v>
      </c>
      <c r="U209" s="2" t="str">
        <f t="shared" si="15"/>
        <v>Q3</v>
      </c>
      <c r="V209" t="str">
        <f t="shared" si="16"/>
        <v>Completed</v>
      </c>
    </row>
    <row r="210" spans="1:22" x14ac:dyDescent="0.3">
      <c r="A210" s="2">
        <v>209</v>
      </c>
      <c r="B210" s="1">
        <v>45866</v>
      </c>
      <c r="C210" s="2" t="s">
        <v>16</v>
      </c>
      <c r="D210">
        <v>4267</v>
      </c>
      <c r="E210">
        <v>712</v>
      </c>
      <c r="F210">
        <v>1408</v>
      </c>
      <c r="G210">
        <v>2524</v>
      </c>
      <c r="H210">
        <v>2694</v>
      </c>
      <c r="I210">
        <v>0.55153497699999998</v>
      </c>
      <c r="J210">
        <v>1.736442939</v>
      </c>
      <c r="K210">
        <v>884</v>
      </c>
      <c r="L210">
        <v>402</v>
      </c>
      <c r="M210" s="2">
        <v>9</v>
      </c>
      <c r="N210">
        <v>0.69916336099999998</v>
      </c>
      <c r="O210">
        <v>0.89777757599999997</v>
      </c>
      <c r="P210" t="b">
        <v>0</v>
      </c>
      <c r="Q210">
        <v>0.85057236300000005</v>
      </c>
      <c r="R210" s="2">
        <v>1</v>
      </c>
      <c r="S210" s="2" t="str">
        <f t="shared" si="13"/>
        <v>Jul</v>
      </c>
      <c r="T210">
        <f t="shared" si="14"/>
        <v>2025</v>
      </c>
      <c r="U210" s="2" t="str">
        <f t="shared" si="15"/>
        <v>Q3</v>
      </c>
      <c r="V210" t="str">
        <f t="shared" si="16"/>
        <v>Completed</v>
      </c>
    </row>
    <row r="211" spans="1:22" x14ac:dyDescent="0.3">
      <c r="A211" s="2">
        <v>210</v>
      </c>
      <c r="B211" s="1">
        <v>45867</v>
      </c>
      <c r="C211" s="2" t="s">
        <v>17</v>
      </c>
      <c r="D211">
        <v>3967</v>
      </c>
      <c r="E211">
        <v>4036</v>
      </c>
      <c r="F211">
        <v>2931</v>
      </c>
      <c r="G211">
        <v>4389</v>
      </c>
      <c r="H211">
        <v>3041</v>
      </c>
      <c r="I211">
        <v>0.71825852800000001</v>
      </c>
      <c r="J211">
        <v>2.2622200939999999</v>
      </c>
      <c r="K211">
        <v>2853</v>
      </c>
      <c r="L211">
        <v>693</v>
      </c>
      <c r="M211" s="2">
        <v>1</v>
      </c>
      <c r="N211">
        <v>0.93872869599999997</v>
      </c>
      <c r="O211">
        <v>0.88417835300000003</v>
      </c>
      <c r="P211" t="b">
        <v>1</v>
      </c>
      <c r="Q211">
        <v>0.789247751</v>
      </c>
      <c r="R211" s="2">
        <v>0</v>
      </c>
      <c r="S211" s="2" t="str">
        <f t="shared" si="13"/>
        <v>Jul</v>
      </c>
      <c r="T211">
        <f t="shared" si="14"/>
        <v>2025</v>
      </c>
      <c r="U211" s="2" t="str">
        <f t="shared" si="15"/>
        <v>Q3</v>
      </c>
      <c r="V211" t="str">
        <f t="shared" si="16"/>
        <v>Completed</v>
      </c>
    </row>
    <row r="212" spans="1:22" x14ac:dyDescent="0.3">
      <c r="A212" s="2">
        <v>211</v>
      </c>
      <c r="B212" s="1">
        <v>45868</v>
      </c>
      <c r="C212" s="2" t="s">
        <v>5</v>
      </c>
      <c r="D212">
        <v>966</v>
      </c>
      <c r="E212">
        <v>599</v>
      </c>
      <c r="F212">
        <v>3578</v>
      </c>
      <c r="G212">
        <v>2623</v>
      </c>
      <c r="H212">
        <v>1706</v>
      </c>
      <c r="I212">
        <v>0.52960177600000002</v>
      </c>
      <c r="J212">
        <v>1.344479083</v>
      </c>
      <c r="K212">
        <v>2448</v>
      </c>
      <c r="L212">
        <v>207</v>
      </c>
      <c r="M212" s="2">
        <v>8</v>
      </c>
      <c r="N212">
        <v>0.57825206500000004</v>
      </c>
      <c r="O212">
        <v>0.83757523199999995</v>
      </c>
      <c r="P212" t="b">
        <v>0</v>
      </c>
      <c r="Q212">
        <v>0.17579722</v>
      </c>
      <c r="R212" s="2">
        <v>1</v>
      </c>
      <c r="S212" s="2" t="str">
        <f t="shared" si="13"/>
        <v>Jul</v>
      </c>
      <c r="T212">
        <f t="shared" si="14"/>
        <v>2025</v>
      </c>
      <c r="U212" s="2" t="str">
        <f t="shared" si="15"/>
        <v>Q3</v>
      </c>
      <c r="V212" t="str">
        <f t="shared" si="16"/>
        <v>Failed</v>
      </c>
    </row>
    <row r="213" spans="1:22" x14ac:dyDescent="0.3">
      <c r="A213" s="2">
        <v>212</v>
      </c>
      <c r="B213" s="1">
        <v>45869</v>
      </c>
      <c r="C213" s="2" t="s">
        <v>18</v>
      </c>
      <c r="D213">
        <v>2168</v>
      </c>
      <c r="E213">
        <v>3170</v>
      </c>
      <c r="F213">
        <v>2764</v>
      </c>
      <c r="G213">
        <v>2417</v>
      </c>
      <c r="H213">
        <v>3787</v>
      </c>
      <c r="I213">
        <v>0.36066396099999998</v>
      </c>
      <c r="J213">
        <v>1.467598001</v>
      </c>
      <c r="K213">
        <v>4407</v>
      </c>
      <c r="L213">
        <v>1374</v>
      </c>
      <c r="M213" s="2">
        <v>6</v>
      </c>
      <c r="N213">
        <v>0.85218055699999995</v>
      </c>
      <c r="O213">
        <v>0.81674427299999997</v>
      </c>
      <c r="P213" t="b">
        <v>0</v>
      </c>
      <c r="Q213">
        <v>0.42150449699999998</v>
      </c>
      <c r="R213" s="2">
        <v>1</v>
      </c>
      <c r="S213" s="2" t="str">
        <f t="shared" si="13"/>
        <v>Jul</v>
      </c>
      <c r="T213">
        <f t="shared" si="14"/>
        <v>2025</v>
      </c>
      <c r="U213" s="2" t="str">
        <f t="shared" si="15"/>
        <v>Q3</v>
      </c>
      <c r="V213" t="str">
        <f t="shared" si="16"/>
        <v>Completed</v>
      </c>
    </row>
    <row r="214" spans="1:22" x14ac:dyDescent="0.3">
      <c r="A214" s="2">
        <v>213</v>
      </c>
      <c r="B214" s="1">
        <v>45870</v>
      </c>
      <c r="C214" s="2" t="s">
        <v>5</v>
      </c>
      <c r="D214">
        <v>3538</v>
      </c>
      <c r="E214">
        <v>1214</v>
      </c>
      <c r="F214">
        <v>2654</v>
      </c>
      <c r="G214">
        <v>372</v>
      </c>
      <c r="H214">
        <v>634</v>
      </c>
      <c r="I214">
        <v>0.289364063</v>
      </c>
      <c r="J214">
        <v>1.982966692</v>
      </c>
      <c r="K214">
        <v>472</v>
      </c>
      <c r="L214">
        <v>297</v>
      </c>
      <c r="M214" s="2">
        <v>1</v>
      </c>
      <c r="N214">
        <v>1.19845661</v>
      </c>
      <c r="O214">
        <v>0.833606497</v>
      </c>
      <c r="P214" t="b">
        <v>0</v>
      </c>
      <c r="Q214">
        <v>0.70155355699999999</v>
      </c>
      <c r="R214" s="2">
        <v>1</v>
      </c>
      <c r="S214" s="2" t="str">
        <f t="shared" si="13"/>
        <v>Aug</v>
      </c>
      <c r="T214">
        <f t="shared" si="14"/>
        <v>2025</v>
      </c>
      <c r="U214" s="2" t="str">
        <f t="shared" si="15"/>
        <v>Q3</v>
      </c>
      <c r="V214" t="str">
        <f t="shared" si="16"/>
        <v>Completed</v>
      </c>
    </row>
    <row r="215" spans="1:22" x14ac:dyDescent="0.3">
      <c r="A215" s="2">
        <v>214</v>
      </c>
      <c r="B215" s="1">
        <v>45871</v>
      </c>
      <c r="C215" s="2" t="s">
        <v>16</v>
      </c>
      <c r="D215">
        <v>1586</v>
      </c>
      <c r="E215">
        <v>2176</v>
      </c>
      <c r="F215">
        <v>261</v>
      </c>
      <c r="G215">
        <v>2309</v>
      </c>
      <c r="H215">
        <v>897</v>
      </c>
      <c r="I215">
        <v>0.359803918</v>
      </c>
      <c r="J215">
        <v>2.8693777389999999</v>
      </c>
      <c r="K215">
        <v>1283</v>
      </c>
      <c r="L215">
        <v>2415</v>
      </c>
      <c r="M215" s="2">
        <v>7</v>
      </c>
      <c r="N215">
        <v>0.73700627200000002</v>
      </c>
      <c r="O215">
        <v>0.887496391</v>
      </c>
      <c r="P215" t="b">
        <v>0</v>
      </c>
      <c r="Q215">
        <v>0.30253475099999999</v>
      </c>
      <c r="R215" s="2">
        <v>1</v>
      </c>
      <c r="S215" s="2" t="str">
        <f t="shared" si="13"/>
        <v>Aug</v>
      </c>
      <c r="T215">
        <f t="shared" si="14"/>
        <v>2025</v>
      </c>
      <c r="U215" s="2" t="str">
        <f t="shared" si="15"/>
        <v>Q3</v>
      </c>
      <c r="V215" t="str">
        <f t="shared" si="16"/>
        <v>Completed</v>
      </c>
    </row>
    <row r="216" spans="1:22" x14ac:dyDescent="0.3">
      <c r="A216" s="2">
        <v>215</v>
      </c>
      <c r="B216" s="1">
        <v>45872</v>
      </c>
      <c r="C216" s="2" t="s">
        <v>18</v>
      </c>
      <c r="D216">
        <v>1210</v>
      </c>
      <c r="E216">
        <v>3566</v>
      </c>
      <c r="F216">
        <v>1836</v>
      </c>
      <c r="G216">
        <v>1257</v>
      </c>
      <c r="H216">
        <v>3862</v>
      </c>
      <c r="I216">
        <v>0.76532783500000001</v>
      </c>
      <c r="J216">
        <v>1.9762015989999999</v>
      </c>
      <c r="K216">
        <v>421</v>
      </c>
      <c r="L216">
        <v>3861</v>
      </c>
      <c r="M216" s="2">
        <v>3</v>
      </c>
      <c r="N216">
        <v>1.4808332989999999</v>
      </c>
      <c r="O216">
        <v>0.88408614699999999</v>
      </c>
      <c r="P216" t="b">
        <v>0</v>
      </c>
      <c r="Q216">
        <v>0.22567457099999999</v>
      </c>
      <c r="R216" s="2">
        <v>1</v>
      </c>
      <c r="S216" s="2" t="str">
        <f t="shared" si="13"/>
        <v>Aug</v>
      </c>
      <c r="T216">
        <f t="shared" si="14"/>
        <v>2025</v>
      </c>
      <c r="U216" s="2" t="str">
        <f t="shared" si="15"/>
        <v>Q3</v>
      </c>
      <c r="V216" t="str">
        <f t="shared" si="16"/>
        <v>Completed</v>
      </c>
    </row>
    <row r="217" spans="1:22" x14ac:dyDescent="0.3">
      <c r="A217" s="2">
        <v>216</v>
      </c>
      <c r="B217" s="1">
        <v>45873</v>
      </c>
      <c r="C217" s="2" t="s">
        <v>5</v>
      </c>
      <c r="D217">
        <v>4337</v>
      </c>
      <c r="E217">
        <v>2910</v>
      </c>
      <c r="F217">
        <v>936</v>
      </c>
      <c r="G217">
        <v>4408</v>
      </c>
      <c r="H217">
        <v>3722</v>
      </c>
      <c r="I217">
        <v>0.33225539100000001</v>
      </c>
      <c r="J217">
        <v>0.76929666100000005</v>
      </c>
      <c r="K217">
        <v>472</v>
      </c>
      <c r="L217">
        <v>2624</v>
      </c>
      <c r="M217" s="2">
        <v>5</v>
      </c>
      <c r="N217">
        <v>1.291471898</v>
      </c>
      <c r="O217">
        <v>0.88499366899999998</v>
      </c>
      <c r="P217" t="b">
        <v>0</v>
      </c>
      <c r="Q217">
        <v>0.86488143900000003</v>
      </c>
      <c r="R217" s="2">
        <v>1</v>
      </c>
      <c r="S217" s="2" t="str">
        <f t="shared" si="13"/>
        <v>Aug</v>
      </c>
      <c r="T217">
        <f t="shared" si="14"/>
        <v>2025</v>
      </c>
      <c r="U217" s="2" t="str">
        <f t="shared" si="15"/>
        <v>Q3</v>
      </c>
      <c r="V217" t="str">
        <f t="shared" si="16"/>
        <v>Completed</v>
      </c>
    </row>
    <row r="218" spans="1:22" x14ac:dyDescent="0.3">
      <c r="A218" s="2">
        <v>217</v>
      </c>
      <c r="B218" s="1">
        <v>45874</v>
      </c>
      <c r="C218" s="2" t="s">
        <v>17</v>
      </c>
      <c r="D218">
        <v>3883</v>
      </c>
      <c r="E218">
        <v>1050</v>
      </c>
      <c r="F218">
        <v>2272</v>
      </c>
      <c r="G218">
        <v>2200</v>
      </c>
      <c r="H218">
        <v>2755</v>
      </c>
      <c r="I218">
        <v>0.48368262899999998</v>
      </c>
      <c r="J218">
        <v>1.246023391</v>
      </c>
      <c r="K218">
        <v>1582</v>
      </c>
      <c r="L218">
        <v>457</v>
      </c>
      <c r="M218" s="2">
        <v>9</v>
      </c>
      <c r="N218">
        <v>1.5755947939999999</v>
      </c>
      <c r="O218">
        <v>0.83079404199999995</v>
      </c>
      <c r="P218" t="b">
        <v>0</v>
      </c>
      <c r="Q218">
        <v>0.77207685999999998</v>
      </c>
      <c r="R218" s="2">
        <v>1</v>
      </c>
      <c r="S218" s="2" t="str">
        <f t="shared" si="13"/>
        <v>Aug</v>
      </c>
      <c r="T218">
        <f t="shared" si="14"/>
        <v>2025</v>
      </c>
      <c r="U218" s="2" t="str">
        <f t="shared" si="15"/>
        <v>Q3</v>
      </c>
      <c r="V218" t="str">
        <f t="shared" si="16"/>
        <v>Completed</v>
      </c>
    </row>
    <row r="219" spans="1:22" x14ac:dyDescent="0.3">
      <c r="A219" s="2">
        <v>218</v>
      </c>
      <c r="B219" s="1">
        <v>45875</v>
      </c>
      <c r="C219" s="2" t="s">
        <v>5</v>
      </c>
      <c r="D219">
        <v>4542</v>
      </c>
      <c r="E219">
        <v>2703</v>
      </c>
      <c r="F219">
        <v>797</v>
      </c>
      <c r="G219">
        <v>763</v>
      </c>
      <c r="H219">
        <v>2260</v>
      </c>
      <c r="I219">
        <v>0.46365478999999998</v>
      </c>
      <c r="J219">
        <v>1.649006244</v>
      </c>
      <c r="K219">
        <v>1400</v>
      </c>
      <c r="L219">
        <v>1037</v>
      </c>
      <c r="M219" s="2">
        <v>9</v>
      </c>
      <c r="N219">
        <v>1.582727591</v>
      </c>
      <c r="O219">
        <v>0.96538772299999998</v>
      </c>
      <c r="P219" t="b">
        <v>0</v>
      </c>
      <c r="Q219">
        <v>0.90678658999999995</v>
      </c>
      <c r="R219" s="2">
        <v>1</v>
      </c>
      <c r="S219" s="2" t="str">
        <f t="shared" si="13"/>
        <v>Aug</v>
      </c>
      <c r="T219">
        <f t="shared" si="14"/>
        <v>2025</v>
      </c>
      <c r="U219" s="2" t="str">
        <f t="shared" si="15"/>
        <v>Q3</v>
      </c>
      <c r="V219" t="str">
        <f t="shared" si="16"/>
        <v>Completed</v>
      </c>
    </row>
    <row r="220" spans="1:22" x14ac:dyDescent="0.3">
      <c r="A220" s="2">
        <v>219</v>
      </c>
      <c r="B220" s="1">
        <v>45876</v>
      </c>
      <c r="C220" s="2" t="s">
        <v>5</v>
      </c>
      <c r="D220">
        <v>4378</v>
      </c>
      <c r="E220">
        <v>2291</v>
      </c>
      <c r="F220">
        <v>1840</v>
      </c>
      <c r="G220">
        <v>2611</v>
      </c>
      <c r="H220">
        <v>751</v>
      </c>
      <c r="I220">
        <v>0.24159619199999999</v>
      </c>
      <c r="J220">
        <v>0.93712997200000003</v>
      </c>
      <c r="K220">
        <v>310</v>
      </c>
      <c r="L220">
        <v>3715</v>
      </c>
      <c r="M220" s="2">
        <v>7</v>
      </c>
      <c r="N220">
        <v>0.573262524</v>
      </c>
      <c r="O220">
        <v>0.96416999800000003</v>
      </c>
      <c r="P220" t="b">
        <v>1</v>
      </c>
      <c r="Q220">
        <v>0.87326246900000004</v>
      </c>
      <c r="R220" s="2">
        <v>1</v>
      </c>
      <c r="S220" s="2" t="str">
        <f t="shared" si="13"/>
        <v>Aug</v>
      </c>
      <c r="T220">
        <f t="shared" si="14"/>
        <v>2025</v>
      </c>
      <c r="U220" s="2" t="str">
        <f t="shared" si="15"/>
        <v>Q3</v>
      </c>
      <c r="V220" t="str">
        <f t="shared" si="16"/>
        <v>Completed</v>
      </c>
    </row>
    <row r="221" spans="1:22" x14ac:dyDescent="0.3">
      <c r="A221" s="2">
        <v>220</v>
      </c>
      <c r="B221" s="1">
        <v>45877</v>
      </c>
      <c r="C221" s="2" t="s">
        <v>16</v>
      </c>
      <c r="D221">
        <v>363</v>
      </c>
      <c r="E221">
        <v>3325</v>
      </c>
      <c r="F221">
        <v>998</v>
      </c>
      <c r="G221">
        <v>2976</v>
      </c>
      <c r="H221">
        <v>1382</v>
      </c>
      <c r="I221">
        <v>0.36587568799999998</v>
      </c>
      <c r="J221">
        <v>0.68470516400000003</v>
      </c>
      <c r="K221">
        <v>4953</v>
      </c>
      <c r="L221">
        <v>807</v>
      </c>
      <c r="M221" s="2">
        <v>9</v>
      </c>
      <c r="N221">
        <v>1.858269342</v>
      </c>
      <c r="O221">
        <v>0.95633754599999998</v>
      </c>
      <c r="P221" t="b">
        <v>0</v>
      </c>
      <c r="Q221">
        <v>5.2534750999999998E-2</v>
      </c>
      <c r="R221" s="2">
        <v>1</v>
      </c>
      <c r="S221" s="2" t="str">
        <f t="shared" si="13"/>
        <v>Aug</v>
      </c>
      <c r="T221">
        <f t="shared" si="14"/>
        <v>2025</v>
      </c>
      <c r="U221" s="2" t="str">
        <f t="shared" si="15"/>
        <v>Q3</v>
      </c>
      <c r="V221" t="str">
        <f t="shared" si="16"/>
        <v>Completed</v>
      </c>
    </row>
    <row r="222" spans="1:22" x14ac:dyDescent="0.3">
      <c r="A222" s="2">
        <v>221</v>
      </c>
      <c r="B222" s="1">
        <v>45878</v>
      </c>
      <c r="C222" s="2" t="s">
        <v>18</v>
      </c>
      <c r="D222">
        <v>3639</v>
      </c>
      <c r="E222">
        <v>564</v>
      </c>
      <c r="F222">
        <v>3043</v>
      </c>
      <c r="G222">
        <v>1339</v>
      </c>
      <c r="H222">
        <v>1466</v>
      </c>
      <c r="I222">
        <v>0.77427239400000003</v>
      </c>
      <c r="J222">
        <v>2.3059445329999999</v>
      </c>
      <c r="K222">
        <v>4887</v>
      </c>
      <c r="L222">
        <v>3602</v>
      </c>
      <c r="M222" s="2">
        <v>6</v>
      </c>
      <c r="N222">
        <v>1.767273018</v>
      </c>
      <c r="O222">
        <v>0.91536336399999996</v>
      </c>
      <c r="P222" t="b">
        <v>0</v>
      </c>
      <c r="Q222">
        <v>0.72219950899999996</v>
      </c>
      <c r="R222" s="2">
        <v>1</v>
      </c>
      <c r="S222" s="2" t="str">
        <f t="shared" si="13"/>
        <v>Aug</v>
      </c>
      <c r="T222">
        <f t="shared" si="14"/>
        <v>2025</v>
      </c>
      <c r="U222" s="2" t="str">
        <f t="shared" si="15"/>
        <v>Q3</v>
      </c>
      <c r="V222" t="str">
        <f t="shared" si="16"/>
        <v>Completed</v>
      </c>
    </row>
    <row r="223" spans="1:22" x14ac:dyDescent="0.3">
      <c r="A223" s="2">
        <v>222</v>
      </c>
      <c r="B223" s="1">
        <v>45879</v>
      </c>
      <c r="C223" s="2" t="s">
        <v>16</v>
      </c>
      <c r="D223">
        <v>514</v>
      </c>
      <c r="E223">
        <v>2442</v>
      </c>
      <c r="F223">
        <v>3164</v>
      </c>
      <c r="G223">
        <v>1870</v>
      </c>
      <c r="H223">
        <v>572</v>
      </c>
      <c r="I223">
        <v>0.57399979300000004</v>
      </c>
      <c r="J223">
        <v>2.4951858329999999</v>
      </c>
      <c r="K223">
        <v>3658</v>
      </c>
      <c r="L223">
        <v>1665</v>
      </c>
      <c r="M223" s="2">
        <v>7</v>
      </c>
      <c r="N223">
        <v>1.949753727</v>
      </c>
      <c r="O223">
        <v>0.95689543200000005</v>
      </c>
      <c r="P223" t="b">
        <v>0</v>
      </c>
      <c r="Q223">
        <v>8.3401472000000004E-2</v>
      </c>
      <c r="R223" s="2">
        <v>1</v>
      </c>
      <c r="S223" s="2" t="str">
        <f t="shared" si="13"/>
        <v>Aug</v>
      </c>
      <c r="T223">
        <f t="shared" si="14"/>
        <v>2025</v>
      </c>
      <c r="U223" s="2" t="str">
        <f t="shared" si="15"/>
        <v>Q3</v>
      </c>
      <c r="V223" t="str">
        <f t="shared" si="16"/>
        <v>Completed</v>
      </c>
    </row>
    <row r="224" spans="1:22" x14ac:dyDescent="0.3">
      <c r="A224" s="2">
        <v>223</v>
      </c>
      <c r="B224" s="1">
        <v>45880</v>
      </c>
      <c r="C224" s="2" t="s">
        <v>17</v>
      </c>
      <c r="D224">
        <v>2868</v>
      </c>
      <c r="E224">
        <v>1136</v>
      </c>
      <c r="F224">
        <v>2828</v>
      </c>
      <c r="G224">
        <v>1661</v>
      </c>
      <c r="H224">
        <v>855</v>
      </c>
      <c r="I224">
        <v>0.358778608</v>
      </c>
      <c r="J224">
        <v>2.3858886500000001</v>
      </c>
      <c r="K224">
        <v>2917</v>
      </c>
      <c r="L224">
        <v>1895</v>
      </c>
      <c r="M224" s="2">
        <v>8</v>
      </c>
      <c r="N224">
        <v>0.89717336000000003</v>
      </c>
      <c r="O224">
        <v>0.96363463699999996</v>
      </c>
      <c r="P224" t="b">
        <v>0</v>
      </c>
      <c r="Q224">
        <v>0.56459525799999999</v>
      </c>
      <c r="R224" s="2">
        <v>0</v>
      </c>
      <c r="S224" s="2" t="str">
        <f t="shared" si="13"/>
        <v>Aug</v>
      </c>
      <c r="T224">
        <f t="shared" si="14"/>
        <v>2025</v>
      </c>
      <c r="U224" s="2" t="str">
        <f t="shared" si="15"/>
        <v>Q3</v>
      </c>
      <c r="V224" t="str">
        <f t="shared" si="16"/>
        <v>Completed</v>
      </c>
    </row>
    <row r="225" spans="1:22" x14ac:dyDescent="0.3">
      <c r="A225" s="2">
        <v>224</v>
      </c>
      <c r="B225" s="1">
        <v>45881</v>
      </c>
      <c r="C225" s="2" t="s">
        <v>5</v>
      </c>
      <c r="D225">
        <v>2512</v>
      </c>
      <c r="E225">
        <v>1127</v>
      </c>
      <c r="F225">
        <v>1769</v>
      </c>
      <c r="G225">
        <v>3511</v>
      </c>
      <c r="H225">
        <v>2473</v>
      </c>
      <c r="I225">
        <v>0.28671674899999999</v>
      </c>
      <c r="J225">
        <v>2.8811944939999998</v>
      </c>
      <c r="K225">
        <v>4430</v>
      </c>
      <c r="L225">
        <v>2130</v>
      </c>
      <c r="M225" s="2">
        <v>4</v>
      </c>
      <c r="N225">
        <v>1.362274019</v>
      </c>
      <c r="O225">
        <v>0.95978664000000002</v>
      </c>
      <c r="P225" t="b">
        <v>0</v>
      </c>
      <c r="Q225">
        <v>0.491823385</v>
      </c>
      <c r="R225" s="2">
        <v>1</v>
      </c>
      <c r="S225" s="2" t="str">
        <f t="shared" si="13"/>
        <v>Aug</v>
      </c>
      <c r="T225">
        <f t="shared" si="14"/>
        <v>2025</v>
      </c>
      <c r="U225" s="2" t="str">
        <f t="shared" si="15"/>
        <v>Q3</v>
      </c>
      <c r="V225" t="str">
        <f t="shared" si="16"/>
        <v>Failed</v>
      </c>
    </row>
    <row r="226" spans="1:22" x14ac:dyDescent="0.3">
      <c r="A226" s="2">
        <v>225</v>
      </c>
      <c r="B226" s="1">
        <v>45882</v>
      </c>
      <c r="C226" s="2" t="s">
        <v>17</v>
      </c>
      <c r="D226">
        <v>1602</v>
      </c>
      <c r="E226">
        <v>1802</v>
      </c>
      <c r="F226">
        <v>3845</v>
      </c>
      <c r="G226">
        <v>1014</v>
      </c>
      <c r="H226">
        <v>2991</v>
      </c>
      <c r="I226">
        <v>0.750168579</v>
      </c>
      <c r="J226">
        <v>0.89163739500000005</v>
      </c>
      <c r="K226">
        <v>867</v>
      </c>
      <c r="L226">
        <v>2455</v>
      </c>
      <c r="M226" s="2">
        <v>3</v>
      </c>
      <c r="N226">
        <v>1.6240771000000001</v>
      </c>
      <c r="O226">
        <v>0.88537710000000003</v>
      </c>
      <c r="P226" t="b">
        <v>0</v>
      </c>
      <c r="Q226">
        <v>0.30580539699999998</v>
      </c>
      <c r="R226" s="2">
        <v>1</v>
      </c>
      <c r="S226" s="2" t="str">
        <f t="shared" si="13"/>
        <v>Aug</v>
      </c>
      <c r="T226">
        <f t="shared" si="14"/>
        <v>2025</v>
      </c>
      <c r="U226" s="2" t="str">
        <f t="shared" si="15"/>
        <v>Q3</v>
      </c>
      <c r="V226" t="str">
        <f t="shared" si="16"/>
        <v>Completed</v>
      </c>
    </row>
    <row r="227" spans="1:22" x14ac:dyDescent="0.3">
      <c r="A227" s="2">
        <v>226</v>
      </c>
      <c r="B227" s="1">
        <v>45883</v>
      </c>
      <c r="C227" s="2" t="s">
        <v>5</v>
      </c>
      <c r="D227">
        <v>1586</v>
      </c>
      <c r="E227">
        <v>1472</v>
      </c>
      <c r="F227">
        <v>1723</v>
      </c>
      <c r="G227">
        <v>2279</v>
      </c>
      <c r="H227">
        <v>564</v>
      </c>
      <c r="I227">
        <v>0.43780520499999998</v>
      </c>
      <c r="J227">
        <v>1.135378062</v>
      </c>
      <c r="K227">
        <v>1310</v>
      </c>
      <c r="L227">
        <v>2659</v>
      </c>
      <c r="M227" s="2">
        <v>6</v>
      </c>
      <c r="N227">
        <v>1.7948117619999999</v>
      </c>
      <c r="O227">
        <v>0.85658238499999995</v>
      </c>
      <c r="P227" t="b">
        <v>0</v>
      </c>
      <c r="Q227">
        <v>0.30253475099999999</v>
      </c>
      <c r="R227" s="2">
        <v>1</v>
      </c>
      <c r="S227" s="2" t="str">
        <f t="shared" si="13"/>
        <v>Aug</v>
      </c>
      <c r="T227">
        <f t="shared" si="14"/>
        <v>2025</v>
      </c>
      <c r="U227" s="2" t="str">
        <f t="shared" si="15"/>
        <v>Q3</v>
      </c>
      <c r="V227" t="str">
        <f t="shared" si="16"/>
        <v>Completed</v>
      </c>
    </row>
    <row r="228" spans="1:22" x14ac:dyDescent="0.3">
      <c r="A228" s="2">
        <v>227</v>
      </c>
      <c r="B228" s="1">
        <v>45884</v>
      </c>
      <c r="C228" s="2" t="s">
        <v>17</v>
      </c>
      <c r="D228">
        <v>2758</v>
      </c>
      <c r="E228">
        <v>875</v>
      </c>
      <c r="F228">
        <v>981</v>
      </c>
      <c r="G228">
        <v>3694</v>
      </c>
      <c r="H228">
        <v>163</v>
      </c>
      <c r="I228">
        <v>0.73335884299999998</v>
      </c>
      <c r="J228">
        <v>2.9226936549999998</v>
      </c>
      <c r="K228">
        <v>1526</v>
      </c>
      <c r="L228">
        <v>1731</v>
      </c>
      <c r="M228" s="2">
        <v>4</v>
      </c>
      <c r="N228">
        <v>1.5982969970000001</v>
      </c>
      <c r="O228">
        <v>0.97587979700000005</v>
      </c>
      <c r="P228" t="b">
        <v>0</v>
      </c>
      <c r="Q228">
        <v>0.54210956700000001</v>
      </c>
      <c r="R228" s="2">
        <v>1</v>
      </c>
      <c r="S228" s="2" t="str">
        <f t="shared" si="13"/>
        <v>Aug</v>
      </c>
      <c r="T228">
        <f t="shared" si="14"/>
        <v>2025</v>
      </c>
      <c r="U228" s="2" t="str">
        <f t="shared" si="15"/>
        <v>Q3</v>
      </c>
      <c r="V228" t="str">
        <f t="shared" si="16"/>
        <v>Completed</v>
      </c>
    </row>
    <row r="229" spans="1:22" x14ac:dyDescent="0.3">
      <c r="A229" s="2">
        <v>228</v>
      </c>
      <c r="B229" s="1">
        <v>45885</v>
      </c>
      <c r="C229" s="2" t="s">
        <v>18</v>
      </c>
      <c r="D229">
        <v>293</v>
      </c>
      <c r="E229">
        <v>3101</v>
      </c>
      <c r="F229">
        <v>1604</v>
      </c>
      <c r="G229">
        <v>4987</v>
      </c>
      <c r="H229">
        <v>1944</v>
      </c>
      <c r="I229">
        <v>0.36906972799999999</v>
      </c>
      <c r="J229">
        <v>1.6574545469999999</v>
      </c>
      <c r="K229">
        <v>2497</v>
      </c>
      <c r="L229">
        <v>1545</v>
      </c>
      <c r="M229" s="2">
        <v>2</v>
      </c>
      <c r="N229">
        <v>1.7769094089999999</v>
      </c>
      <c r="O229">
        <v>0.84785357699999997</v>
      </c>
      <c r="P229" t="b">
        <v>0</v>
      </c>
      <c r="Q229">
        <v>3.8225675000000001E-2</v>
      </c>
      <c r="R229" s="2">
        <v>1</v>
      </c>
      <c r="S229" s="2" t="str">
        <f t="shared" si="13"/>
        <v>Aug</v>
      </c>
      <c r="T229">
        <f t="shared" si="14"/>
        <v>2025</v>
      </c>
      <c r="U229" s="2" t="str">
        <f t="shared" si="15"/>
        <v>Q3</v>
      </c>
      <c r="V229" t="str">
        <f t="shared" si="16"/>
        <v>Completed</v>
      </c>
    </row>
    <row r="230" spans="1:22" x14ac:dyDescent="0.3">
      <c r="A230" s="2">
        <v>229</v>
      </c>
      <c r="B230" s="1">
        <v>45886</v>
      </c>
      <c r="C230" s="2" t="s">
        <v>5</v>
      </c>
      <c r="D230">
        <v>566</v>
      </c>
      <c r="E230">
        <v>2038</v>
      </c>
      <c r="F230">
        <v>2988</v>
      </c>
      <c r="G230">
        <v>2875</v>
      </c>
      <c r="H230">
        <v>3310</v>
      </c>
      <c r="I230">
        <v>0.51801791799999997</v>
      </c>
      <c r="J230">
        <v>1.599105759</v>
      </c>
      <c r="K230">
        <v>1703</v>
      </c>
      <c r="L230">
        <v>2826</v>
      </c>
      <c r="M230" s="2">
        <v>8</v>
      </c>
      <c r="N230">
        <v>1.7109640100000001</v>
      </c>
      <c r="O230">
        <v>0.86792532700000002</v>
      </c>
      <c r="P230" t="b">
        <v>0</v>
      </c>
      <c r="Q230">
        <v>9.4031070999999994E-2</v>
      </c>
      <c r="R230" s="2">
        <v>1</v>
      </c>
      <c r="S230" s="2" t="str">
        <f t="shared" si="13"/>
        <v>Aug</v>
      </c>
      <c r="T230">
        <f t="shared" si="14"/>
        <v>2025</v>
      </c>
      <c r="U230" s="2" t="str">
        <f t="shared" si="15"/>
        <v>Q3</v>
      </c>
      <c r="V230" t="str">
        <f t="shared" si="16"/>
        <v>Completed</v>
      </c>
    </row>
    <row r="231" spans="1:22" x14ac:dyDescent="0.3">
      <c r="A231" s="2">
        <v>230</v>
      </c>
      <c r="B231" s="1">
        <v>45887</v>
      </c>
      <c r="C231" s="2" t="s">
        <v>18</v>
      </c>
      <c r="D231">
        <v>1449</v>
      </c>
      <c r="E231">
        <v>2772</v>
      </c>
      <c r="F231">
        <v>495</v>
      </c>
      <c r="G231">
        <v>1733</v>
      </c>
      <c r="H231">
        <v>1946</v>
      </c>
      <c r="I231">
        <v>0.59224749099999996</v>
      </c>
      <c r="J231">
        <v>2.867628726</v>
      </c>
      <c r="K231">
        <v>2800</v>
      </c>
      <c r="L231">
        <v>3829</v>
      </c>
      <c r="M231" s="2">
        <v>2</v>
      </c>
      <c r="N231">
        <v>0.64332777900000004</v>
      </c>
      <c r="O231">
        <v>0.83248414299999995</v>
      </c>
      <c r="P231" t="b">
        <v>0</v>
      </c>
      <c r="Q231">
        <v>0.27452984499999999</v>
      </c>
      <c r="R231" s="2">
        <v>1</v>
      </c>
      <c r="S231" s="2" t="str">
        <f t="shared" si="13"/>
        <v>Aug</v>
      </c>
      <c r="T231">
        <f t="shared" si="14"/>
        <v>2025</v>
      </c>
      <c r="U231" s="2" t="str">
        <f t="shared" si="15"/>
        <v>Q3</v>
      </c>
      <c r="V231" t="str">
        <f t="shared" si="16"/>
        <v>Completed</v>
      </c>
    </row>
    <row r="232" spans="1:22" x14ac:dyDescent="0.3">
      <c r="A232" s="2">
        <v>231</v>
      </c>
      <c r="B232" s="1">
        <v>45888</v>
      </c>
      <c r="C232" s="2" t="s">
        <v>17</v>
      </c>
      <c r="D232">
        <v>2660</v>
      </c>
      <c r="E232">
        <v>1901</v>
      </c>
      <c r="F232">
        <v>3297</v>
      </c>
      <c r="G232">
        <v>1933</v>
      </c>
      <c r="H232">
        <v>388</v>
      </c>
      <c r="I232">
        <v>0.34132050400000002</v>
      </c>
      <c r="J232">
        <v>1.3140726739999999</v>
      </c>
      <c r="K232">
        <v>4637</v>
      </c>
      <c r="L232">
        <v>457</v>
      </c>
      <c r="M232" s="2">
        <v>5</v>
      </c>
      <c r="N232">
        <v>1.1501704779999999</v>
      </c>
      <c r="O232">
        <v>0.97989948400000004</v>
      </c>
      <c r="P232" t="b">
        <v>0</v>
      </c>
      <c r="Q232">
        <v>0.52207685999999998</v>
      </c>
      <c r="R232" s="2">
        <v>1</v>
      </c>
      <c r="S232" s="2" t="str">
        <f t="shared" si="13"/>
        <v>Aug</v>
      </c>
      <c r="T232">
        <f t="shared" si="14"/>
        <v>2025</v>
      </c>
      <c r="U232" s="2" t="str">
        <f t="shared" si="15"/>
        <v>Q3</v>
      </c>
      <c r="V232" t="str">
        <f t="shared" si="16"/>
        <v>Completed</v>
      </c>
    </row>
    <row r="233" spans="1:22" x14ac:dyDescent="0.3">
      <c r="A233" s="2">
        <v>232</v>
      </c>
      <c r="B233" s="1">
        <v>45889</v>
      </c>
      <c r="C233" s="2" t="s">
        <v>17</v>
      </c>
      <c r="D233">
        <v>983</v>
      </c>
      <c r="E233">
        <v>4042</v>
      </c>
      <c r="F233">
        <v>704</v>
      </c>
      <c r="G233">
        <v>1113</v>
      </c>
      <c r="H233">
        <v>1853</v>
      </c>
      <c r="I233">
        <v>0.26521937299999998</v>
      </c>
      <c r="J233">
        <v>0.54348488699999997</v>
      </c>
      <c r="K233">
        <v>2697</v>
      </c>
      <c r="L233">
        <v>2675</v>
      </c>
      <c r="M233" s="2">
        <v>2</v>
      </c>
      <c r="N233">
        <v>1.667342648</v>
      </c>
      <c r="O233">
        <v>0.86730094400000002</v>
      </c>
      <c r="P233" t="b">
        <v>0</v>
      </c>
      <c r="Q233">
        <v>0.17927228100000001</v>
      </c>
      <c r="R233" s="2">
        <v>1</v>
      </c>
      <c r="S233" s="2" t="str">
        <f t="shared" si="13"/>
        <v>Aug</v>
      </c>
      <c r="T233">
        <f t="shared" si="14"/>
        <v>2025</v>
      </c>
      <c r="U233" s="2" t="str">
        <f t="shared" si="15"/>
        <v>Q3</v>
      </c>
      <c r="V233" t="str">
        <f t="shared" si="16"/>
        <v>Completed</v>
      </c>
    </row>
    <row r="234" spans="1:22" x14ac:dyDescent="0.3">
      <c r="A234" s="2">
        <v>233</v>
      </c>
      <c r="B234" s="1">
        <v>45890</v>
      </c>
      <c r="C234" s="2" t="s">
        <v>5</v>
      </c>
      <c r="D234">
        <v>2483</v>
      </c>
      <c r="E234">
        <v>892</v>
      </c>
      <c r="F234">
        <v>1930</v>
      </c>
      <c r="G234">
        <v>4540</v>
      </c>
      <c r="H234">
        <v>550</v>
      </c>
      <c r="I234">
        <v>0.51674352700000004</v>
      </c>
      <c r="J234">
        <v>1.2929839789999999</v>
      </c>
      <c r="K234">
        <v>2764</v>
      </c>
      <c r="L234">
        <v>1714</v>
      </c>
      <c r="M234" s="2">
        <v>7</v>
      </c>
      <c r="N234">
        <v>0.55300054399999998</v>
      </c>
      <c r="O234">
        <v>0.89556935100000001</v>
      </c>
      <c r="P234" t="b">
        <v>0</v>
      </c>
      <c r="Q234">
        <v>0.48589533899999998</v>
      </c>
      <c r="R234" s="2">
        <v>1</v>
      </c>
      <c r="S234" s="2" t="str">
        <f t="shared" si="13"/>
        <v>Aug</v>
      </c>
      <c r="T234">
        <f t="shared" si="14"/>
        <v>2025</v>
      </c>
      <c r="U234" s="2" t="str">
        <f t="shared" si="15"/>
        <v>Q3</v>
      </c>
      <c r="V234" t="str">
        <f t="shared" si="16"/>
        <v>Completed</v>
      </c>
    </row>
    <row r="235" spans="1:22" x14ac:dyDescent="0.3">
      <c r="A235" s="2">
        <v>234</v>
      </c>
      <c r="B235" s="1">
        <v>45891</v>
      </c>
      <c r="C235" s="2" t="s">
        <v>16</v>
      </c>
      <c r="D235">
        <v>1630</v>
      </c>
      <c r="E235">
        <v>1317</v>
      </c>
      <c r="F235">
        <v>3665</v>
      </c>
      <c r="G235">
        <v>3308</v>
      </c>
      <c r="H235">
        <v>2864</v>
      </c>
      <c r="I235">
        <v>0.23837757500000001</v>
      </c>
      <c r="J235">
        <v>2.9202466349999998</v>
      </c>
      <c r="K235">
        <v>686</v>
      </c>
      <c r="L235">
        <v>1890</v>
      </c>
      <c r="M235" s="2">
        <v>5</v>
      </c>
      <c r="N235">
        <v>0.79394231800000004</v>
      </c>
      <c r="O235">
        <v>0.94262742399999999</v>
      </c>
      <c r="P235" t="b">
        <v>0</v>
      </c>
      <c r="Q235">
        <v>0.31152902700000001</v>
      </c>
      <c r="R235" s="2">
        <v>1</v>
      </c>
      <c r="S235" s="2" t="str">
        <f t="shared" si="13"/>
        <v>Aug</v>
      </c>
      <c r="T235">
        <f t="shared" si="14"/>
        <v>2025</v>
      </c>
      <c r="U235" s="2" t="str">
        <f t="shared" si="15"/>
        <v>Q3</v>
      </c>
      <c r="V235" t="str">
        <f t="shared" si="16"/>
        <v>Completed</v>
      </c>
    </row>
    <row r="236" spans="1:22" x14ac:dyDescent="0.3">
      <c r="A236" s="2">
        <v>235</v>
      </c>
      <c r="B236" s="1">
        <v>45892</v>
      </c>
      <c r="C236" s="2" t="s">
        <v>5</v>
      </c>
      <c r="D236">
        <v>2594</v>
      </c>
      <c r="E236">
        <v>2461</v>
      </c>
      <c r="F236">
        <v>1180</v>
      </c>
      <c r="G236">
        <v>3896</v>
      </c>
      <c r="H236">
        <v>2545</v>
      </c>
      <c r="I236">
        <v>0.31991859700000003</v>
      </c>
      <c r="J236">
        <v>1.898526376</v>
      </c>
      <c r="K236">
        <v>466</v>
      </c>
      <c r="L236">
        <v>601</v>
      </c>
      <c r="M236" s="2">
        <v>7</v>
      </c>
      <c r="N236">
        <v>1.2521244410000001</v>
      </c>
      <c r="O236">
        <v>0.86587194000000001</v>
      </c>
      <c r="P236" t="b">
        <v>0</v>
      </c>
      <c r="Q236">
        <v>0.508585446</v>
      </c>
      <c r="R236" s="2">
        <v>1</v>
      </c>
      <c r="S236" s="2" t="str">
        <f t="shared" si="13"/>
        <v>Aug</v>
      </c>
      <c r="T236">
        <f t="shared" si="14"/>
        <v>2025</v>
      </c>
      <c r="U236" s="2" t="str">
        <f t="shared" si="15"/>
        <v>Q3</v>
      </c>
      <c r="V236" t="str">
        <f t="shared" si="16"/>
        <v>Completed</v>
      </c>
    </row>
    <row r="237" spans="1:22" x14ac:dyDescent="0.3">
      <c r="A237" s="2">
        <v>236</v>
      </c>
      <c r="B237" s="1">
        <v>45893</v>
      </c>
      <c r="C237" s="2" t="s">
        <v>17</v>
      </c>
      <c r="D237">
        <v>937</v>
      </c>
      <c r="E237">
        <v>971</v>
      </c>
      <c r="F237">
        <v>3172</v>
      </c>
      <c r="G237">
        <v>3197</v>
      </c>
      <c r="H237">
        <v>1231</v>
      </c>
      <c r="I237">
        <v>0.35160240300000001</v>
      </c>
      <c r="J237">
        <v>2.6154648250000001</v>
      </c>
      <c r="K237">
        <v>4101</v>
      </c>
      <c r="L237">
        <v>2726</v>
      </c>
      <c r="M237" s="2">
        <v>9</v>
      </c>
      <c r="N237">
        <v>0.60929485800000005</v>
      </c>
      <c r="O237">
        <v>0.87648516300000001</v>
      </c>
      <c r="P237" t="b">
        <v>0</v>
      </c>
      <c r="Q237">
        <v>0.16986917400000001</v>
      </c>
      <c r="R237" s="2">
        <v>0</v>
      </c>
      <c r="S237" s="2" t="str">
        <f t="shared" si="13"/>
        <v>Aug</v>
      </c>
      <c r="T237">
        <f t="shared" si="14"/>
        <v>2025</v>
      </c>
      <c r="U237" s="2" t="str">
        <f t="shared" si="15"/>
        <v>Q3</v>
      </c>
      <c r="V237" t="str">
        <f t="shared" si="16"/>
        <v>Completed</v>
      </c>
    </row>
    <row r="238" spans="1:22" x14ac:dyDescent="0.3">
      <c r="A238" s="2">
        <v>237</v>
      </c>
      <c r="B238" s="1">
        <v>45894</v>
      </c>
      <c r="C238" s="2" t="s">
        <v>18</v>
      </c>
      <c r="D238">
        <v>1400</v>
      </c>
      <c r="E238">
        <v>3215</v>
      </c>
      <c r="F238">
        <v>1457</v>
      </c>
      <c r="G238">
        <v>4920</v>
      </c>
      <c r="H238">
        <v>3088</v>
      </c>
      <c r="I238">
        <v>0.77240718799999997</v>
      </c>
      <c r="J238">
        <v>2.9978724269999999</v>
      </c>
      <c r="K238">
        <v>3695</v>
      </c>
      <c r="L238">
        <v>3389</v>
      </c>
      <c r="M238" s="2">
        <v>8</v>
      </c>
      <c r="N238">
        <v>1.9829692400000001</v>
      </c>
      <c r="O238">
        <v>0.87917610400000001</v>
      </c>
      <c r="P238" t="b">
        <v>0</v>
      </c>
      <c r="Q238">
        <v>0.26451349099999999</v>
      </c>
      <c r="R238" s="2">
        <v>1</v>
      </c>
      <c r="S238" s="2" t="str">
        <f t="shared" si="13"/>
        <v>Aug</v>
      </c>
      <c r="T238">
        <f t="shared" si="14"/>
        <v>2025</v>
      </c>
      <c r="U238" s="2" t="str">
        <f t="shared" si="15"/>
        <v>Q3</v>
      </c>
      <c r="V238" t="str">
        <f t="shared" si="16"/>
        <v>Failed</v>
      </c>
    </row>
    <row r="239" spans="1:22" x14ac:dyDescent="0.3">
      <c r="A239" s="2">
        <v>238</v>
      </c>
      <c r="B239" s="1">
        <v>45895</v>
      </c>
      <c r="C239" s="2" t="s">
        <v>18</v>
      </c>
      <c r="D239">
        <v>853</v>
      </c>
      <c r="E239">
        <v>2351</v>
      </c>
      <c r="F239">
        <v>3171</v>
      </c>
      <c r="G239">
        <v>3533</v>
      </c>
      <c r="H239">
        <v>3077</v>
      </c>
      <c r="I239">
        <v>0.61215197899999996</v>
      </c>
      <c r="J239">
        <v>2.198712048</v>
      </c>
      <c r="K239">
        <v>3341</v>
      </c>
      <c r="L239">
        <v>1781</v>
      </c>
      <c r="M239" s="2">
        <v>4</v>
      </c>
      <c r="N239">
        <v>1.1266371980000001</v>
      </c>
      <c r="O239">
        <v>0.86727034300000005</v>
      </c>
      <c r="P239" t="b">
        <v>0</v>
      </c>
      <c r="Q239">
        <v>0.15269828299999999</v>
      </c>
      <c r="R239" s="2">
        <v>1</v>
      </c>
      <c r="S239" s="2" t="str">
        <f t="shared" si="13"/>
        <v>Aug</v>
      </c>
      <c r="T239">
        <f t="shared" si="14"/>
        <v>2025</v>
      </c>
      <c r="U239" s="2" t="str">
        <f t="shared" si="15"/>
        <v>Q3</v>
      </c>
      <c r="V239" t="str">
        <f t="shared" si="16"/>
        <v>Completed</v>
      </c>
    </row>
    <row r="240" spans="1:22" x14ac:dyDescent="0.3">
      <c r="A240" s="2">
        <v>239</v>
      </c>
      <c r="B240" s="1">
        <v>45896</v>
      </c>
      <c r="C240" s="2" t="s">
        <v>16</v>
      </c>
      <c r="D240">
        <v>2342</v>
      </c>
      <c r="E240">
        <v>1193</v>
      </c>
      <c r="F240">
        <v>3913</v>
      </c>
      <c r="G240">
        <v>1789</v>
      </c>
      <c r="H240">
        <v>491</v>
      </c>
      <c r="I240">
        <v>0.32104433100000002</v>
      </c>
      <c r="J240">
        <v>1.0428441100000001</v>
      </c>
      <c r="K240">
        <v>1009</v>
      </c>
      <c r="L240">
        <v>2677</v>
      </c>
      <c r="M240" s="2">
        <v>7</v>
      </c>
      <c r="N240">
        <v>0.58128753399999999</v>
      </c>
      <c r="O240">
        <v>0.91178631499999996</v>
      </c>
      <c r="P240" t="b">
        <v>0</v>
      </c>
      <c r="Q240">
        <v>0.45707277200000002</v>
      </c>
      <c r="R240" s="2">
        <v>1</v>
      </c>
      <c r="S240" s="2" t="str">
        <f t="shared" si="13"/>
        <v>Aug</v>
      </c>
      <c r="T240">
        <f t="shared" si="14"/>
        <v>2025</v>
      </c>
      <c r="U240" s="2" t="str">
        <f t="shared" si="15"/>
        <v>Q3</v>
      </c>
      <c r="V240" t="str">
        <f t="shared" si="16"/>
        <v>Completed</v>
      </c>
    </row>
    <row r="241" spans="1:22" x14ac:dyDescent="0.3">
      <c r="A241" s="2">
        <v>240</v>
      </c>
      <c r="B241" s="1">
        <v>45897</v>
      </c>
      <c r="C241" s="2" t="s">
        <v>5</v>
      </c>
      <c r="D241">
        <v>1457</v>
      </c>
      <c r="E241">
        <v>724</v>
      </c>
      <c r="F241">
        <v>3726</v>
      </c>
      <c r="G241">
        <v>2731</v>
      </c>
      <c r="H241">
        <v>1662</v>
      </c>
      <c r="I241">
        <v>0.63469152500000003</v>
      </c>
      <c r="J241">
        <v>2.0580057979999999</v>
      </c>
      <c r="K241">
        <v>3990</v>
      </c>
      <c r="L241">
        <v>1387</v>
      </c>
      <c r="M241" s="2">
        <v>9</v>
      </c>
      <c r="N241">
        <v>1.0726098770000001</v>
      </c>
      <c r="O241">
        <v>0.80477742200000002</v>
      </c>
      <c r="P241" t="b">
        <v>0</v>
      </c>
      <c r="Q241">
        <v>0.27616516800000002</v>
      </c>
      <c r="R241" s="2">
        <v>1</v>
      </c>
      <c r="S241" s="2" t="str">
        <f t="shared" si="13"/>
        <v>Aug</v>
      </c>
      <c r="T241">
        <f t="shared" si="14"/>
        <v>2025</v>
      </c>
      <c r="U241" s="2" t="str">
        <f t="shared" si="15"/>
        <v>Q3</v>
      </c>
      <c r="V241" t="str">
        <f t="shared" si="16"/>
        <v>Completed</v>
      </c>
    </row>
    <row r="242" spans="1:22" x14ac:dyDescent="0.3">
      <c r="A242" s="2">
        <v>241</v>
      </c>
      <c r="B242" s="1">
        <v>45898</v>
      </c>
      <c r="C242" s="2" t="s">
        <v>16</v>
      </c>
      <c r="D242">
        <v>1397</v>
      </c>
      <c r="E242">
        <v>1083</v>
      </c>
      <c r="F242">
        <v>655</v>
      </c>
      <c r="G242">
        <v>769</v>
      </c>
      <c r="H242">
        <v>1365</v>
      </c>
      <c r="I242">
        <v>0.61334910600000003</v>
      </c>
      <c r="J242">
        <v>1.8431989360000001</v>
      </c>
      <c r="K242">
        <v>1622</v>
      </c>
      <c r="L242">
        <v>3842</v>
      </c>
      <c r="M242" s="2">
        <v>4</v>
      </c>
      <c r="N242">
        <v>0.774628282</v>
      </c>
      <c r="O242">
        <v>0.89391019900000002</v>
      </c>
      <c r="P242" t="b">
        <v>0</v>
      </c>
      <c r="Q242">
        <v>0.26390024499999998</v>
      </c>
      <c r="R242" s="2">
        <v>1</v>
      </c>
      <c r="S242" s="2" t="str">
        <f t="shared" si="13"/>
        <v>Aug</v>
      </c>
      <c r="T242">
        <f t="shared" si="14"/>
        <v>2025</v>
      </c>
      <c r="U242" s="2" t="str">
        <f t="shared" si="15"/>
        <v>Q3</v>
      </c>
      <c r="V242" t="str">
        <f t="shared" si="16"/>
        <v>Completed</v>
      </c>
    </row>
    <row r="243" spans="1:22" x14ac:dyDescent="0.3">
      <c r="A243" s="2">
        <v>242</v>
      </c>
      <c r="B243" s="1">
        <v>45899</v>
      </c>
      <c r="C243" s="2" t="s">
        <v>17</v>
      </c>
      <c r="D243">
        <v>838</v>
      </c>
      <c r="E243">
        <v>1558</v>
      </c>
      <c r="F243">
        <v>2713</v>
      </c>
      <c r="G243">
        <v>3911</v>
      </c>
      <c r="H243">
        <v>1965</v>
      </c>
      <c r="I243">
        <v>0.61373527100000003</v>
      </c>
      <c r="J243">
        <v>2.9478416350000001</v>
      </c>
      <c r="K243">
        <v>296</v>
      </c>
      <c r="L243">
        <v>1123</v>
      </c>
      <c r="M243" s="2">
        <v>2</v>
      </c>
      <c r="N243">
        <v>1.073371702</v>
      </c>
      <c r="O243">
        <v>0.88017999199999997</v>
      </c>
      <c r="P243" t="b">
        <v>0</v>
      </c>
      <c r="Q243">
        <v>0.14963205199999999</v>
      </c>
      <c r="R243" s="2">
        <v>1</v>
      </c>
      <c r="S243" s="2" t="str">
        <f t="shared" si="13"/>
        <v>Aug</v>
      </c>
      <c r="T243">
        <f t="shared" si="14"/>
        <v>2025</v>
      </c>
      <c r="U243" s="2" t="str">
        <f t="shared" si="15"/>
        <v>Q3</v>
      </c>
      <c r="V243" t="str">
        <f t="shared" si="16"/>
        <v>Completed</v>
      </c>
    </row>
    <row r="244" spans="1:22" x14ac:dyDescent="0.3">
      <c r="A244" s="2">
        <v>243</v>
      </c>
      <c r="B244" s="1">
        <v>45900</v>
      </c>
      <c r="C244" s="2" t="s">
        <v>5</v>
      </c>
      <c r="D244">
        <v>4403</v>
      </c>
      <c r="E244">
        <v>3254</v>
      </c>
      <c r="F244">
        <v>943</v>
      </c>
      <c r="G244">
        <v>4172</v>
      </c>
      <c r="H244">
        <v>1084</v>
      </c>
      <c r="I244">
        <v>0.23327673400000001</v>
      </c>
      <c r="J244">
        <v>0.93069675600000001</v>
      </c>
      <c r="K244">
        <v>4981</v>
      </c>
      <c r="L244">
        <v>838</v>
      </c>
      <c r="M244" s="2">
        <v>9</v>
      </c>
      <c r="N244">
        <v>1.5619635970000001</v>
      </c>
      <c r="O244">
        <v>0.80443701499999998</v>
      </c>
      <c r="P244" t="b">
        <v>0</v>
      </c>
      <c r="Q244">
        <v>0.87837285399999998</v>
      </c>
      <c r="R244" s="2">
        <v>1</v>
      </c>
      <c r="S244" s="2" t="str">
        <f t="shared" si="13"/>
        <v>Aug</v>
      </c>
      <c r="T244">
        <f t="shared" si="14"/>
        <v>2025</v>
      </c>
      <c r="U244" s="2" t="str">
        <f t="shared" si="15"/>
        <v>Q3</v>
      </c>
      <c r="V244" t="str">
        <f t="shared" si="16"/>
        <v>Completed</v>
      </c>
    </row>
    <row r="245" spans="1:22" x14ac:dyDescent="0.3">
      <c r="A245" s="2">
        <v>244</v>
      </c>
      <c r="B245" s="1">
        <v>45901</v>
      </c>
      <c r="C245" s="2" t="s">
        <v>5</v>
      </c>
      <c r="D245">
        <v>2900</v>
      </c>
      <c r="E245">
        <v>1509</v>
      </c>
      <c r="F245">
        <v>3673</v>
      </c>
      <c r="G245">
        <v>4590</v>
      </c>
      <c r="H245">
        <v>480</v>
      </c>
      <c r="I245">
        <v>0.59920257899999996</v>
      </c>
      <c r="J245">
        <v>0.77714605199999998</v>
      </c>
      <c r="K245">
        <v>4701</v>
      </c>
      <c r="L245">
        <v>3234</v>
      </c>
      <c r="M245" s="2">
        <v>2</v>
      </c>
      <c r="N245">
        <v>1.330561769</v>
      </c>
      <c r="O245">
        <v>0.95528907600000001</v>
      </c>
      <c r="P245" t="b">
        <v>0</v>
      </c>
      <c r="Q245">
        <v>0.57113654899999999</v>
      </c>
      <c r="R245" s="2">
        <v>1</v>
      </c>
      <c r="S245" s="2" t="str">
        <f t="shared" si="13"/>
        <v>Sep</v>
      </c>
      <c r="T245">
        <f t="shared" si="14"/>
        <v>2025</v>
      </c>
      <c r="U245" s="2" t="str">
        <f t="shared" si="15"/>
        <v>Q3</v>
      </c>
      <c r="V245" t="str">
        <f t="shared" si="16"/>
        <v>Completed</v>
      </c>
    </row>
    <row r="246" spans="1:22" x14ac:dyDescent="0.3">
      <c r="A246" s="2">
        <v>245</v>
      </c>
      <c r="B246" s="1">
        <v>45902</v>
      </c>
      <c r="C246" s="2" t="s">
        <v>18</v>
      </c>
      <c r="D246">
        <v>3697</v>
      </c>
      <c r="E246">
        <v>4127</v>
      </c>
      <c r="F246">
        <v>1952</v>
      </c>
      <c r="G246">
        <v>4977</v>
      </c>
      <c r="H246">
        <v>218</v>
      </c>
      <c r="I246">
        <v>0.77029134399999999</v>
      </c>
      <c r="J246">
        <v>1.5958479459999999</v>
      </c>
      <c r="K246">
        <v>1314</v>
      </c>
      <c r="L246">
        <v>1679</v>
      </c>
      <c r="M246" s="2">
        <v>4</v>
      </c>
      <c r="N246">
        <v>1.7238400330000001</v>
      </c>
      <c r="O246">
        <v>0.99950518899999996</v>
      </c>
      <c r="P246" t="b">
        <v>0</v>
      </c>
      <c r="Q246">
        <v>0.734055601</v>
      </c>
      <c r="R246" s="2">
        <v>1</v>
      </c>
      <c r="S246" s="2" t="str">
        <f t="shared" si="13"/>
        <v>Sep</v>
      </c>
      <c r="T246">
        <f t="shared" si="14"/>
        <v>2025</v>
      </c>
      <c r="U246" s="2" t="str">
        <f t="shared" si="15"/>
        <v>Q3</v>
      </c>
      <c r="V246" t="str">
        <f t="shared" si="16"/>
        <v>Completed</v>
      </c>
    </row>
    <row r="247" spans="1:22" x14ac:dyDescent="0.3">
      <c r="A247" s="2">
        <v>246</v>
      </c>
      <c r="B247" s="1">
        <v>45903</v>
      </c>
      <c r="C247" s="2" t="s">
        <v>18</v>
      </c>
      <c r="D247">
        <v>3945</v>
      </c>
      <c r="E247">
        <v>548</v>
      </c>
      <c r="F247">
        <v>2288</v>
      </c>
      <c r="G247">
        <v>4566</v>
      </c>
      <c r="H247">
        <v>2444</v>
      </c>
      <c r="I247">
        <v>0.61398183699999997</v>
      </c>
      <c r="J247">
        <v>1.59609479</v>
      </c>
      <c r="K247">
        <v>4239</v>
      </c>
      <c r="L247">
        <v>2202</v>
      </c>
      <c r="M247" s="2">
        <v>3</v>
      </c>
      <c r="N247">
        <v>1.526910593</v>
      </c>
      <c r="O247">
        <v>0.90369798899999998</v>
      </c>
      <c r="P247" t="b">
        <v>0</v>
      </c>
      <c r="Q247">
        <v>0.78475061300000004</v>
      </c>
      <c r="R247" s="2">
        <v>1</v>
      </c>
      <c r="S247" s="2" t="str">
        <f t="shared" si="13"/>
        <v>Sep</v>
      </c>
      <c r="T247">
        <f t="shared" si="14"/>
        <v>2025</v>
      </c>
      <c r="U247" s="2" t="str">
        <f t="shared" si="15"/>
        <v>Q3</v>
      </c>
      <c r="V247" t="str">
        <f t="shared" si="16"/>
        <v>Completed</v>
      </c>
    </row>
    <row r="248" spans="1:22" x14ac:dyDescent="0.3">
      <c r="A248" s="2">
        <v>247</v>
      </c>
      <c r="B248" s="1">
        <v>45904</v>
      </c>
      <c r="C248" s="2" t="s">
        <v>18</v>
      </c>
      <c r="D248">
        <v>1252</v>
      </c>
      <c r="E248">
        <v>3399</v>
      </c>
      <c r="F248">
        <v>478</v>
      </c>
      <c r="G248">
        <v>3281</v>
      </c>
      <c r="H248">
        <v>894</v>
      </c>
      <c r="I248">
        <v>0.65860756300000001</v>
      </c>
      <c r="J248">
        <v>2.5819038929999998</v>
      </c>
      <c r="K248">
        <v>1653</v>
      </c>
      <c r="L248">
        <v>2051</v>
      </c>
      <c r="M248" s="2">
        <v>9</v>
      </c>
      <c r="N248">
        <v>1.666328145</v>
      </c>
      <c r="O248">
        <v>0.98054025199999995</v>
      </c>
      <c r="P248" t="b">
        <v>0</v>
      </c>
      <c r="Q248">
        <v>0.23426001599999999</v>
      </c>
      <c r="R248" s="2">
        <v>0</v>
      </c>
      <c r="S248" s="2" t="str">
        <f t="shared" si="13"/>
        <v>Sep</v>
      </c>
      <c r="T248">
        <f t="shared" si="14"/>
        <v>2025</v>
      </c>
      <c r="U248" s="2" t="str">
        <f t="shared" si="15"/>
        <v>Q3</v>
      </c>
      <c r="V248" t="str">
        <f t="shared" si="16"/>
        <v>Completed</v>
      </c>
    </row>
    <row r="249" spans="1:22" x14ac:dyDescent="0.3">
      <c r="A249" s="2">
        <v>248</v>
      </c>
      <c r="B249" s="1">
        <v>45905</v>
      </c>
      <c r="C249" s="2" t="s">
        <v>16</v>
      </c>
      <c r="D249">
        <v>2019</v>
      </c>
      <c r="E249">
        <v>2034</v>
      </c>
      <c r="F249">
        <v>2910</v>
      </c>
      <c r="G249">
        <v>1342</v>
      </c>
      <c r="H249">
        <v>2027</v>
      </c>
      <c r="I249">
        <v>0.21700383500000001</v>
      </c>
      <c r="J249">
        <v>1.7101697090000001</v>
      </c>
      <c r="K249">
        <v>4094</v>
      </c>
      <c r="L249">
        <v>2608</v>
      </c>
      <c r="M249" s="2">
        <v>9</v>
      </c>
      <c r="N249">
        <v>0.50188340600000003</v>
      </c>
      <c r="O249">
        <v>0.88128277700000002</v>
      </c>
      <c r="P249" t="b">
        <v>0</v>
      </c>
      <c r="Q249">
        <v>0.39104660699999999</v>
      </c>
      <c r="R249" s="2">
        <v>1</v>
      </c>
      <c r="S249" s="2" t="str">
        <f t="shared" si="13"/>
        <v>Sep</v>
      </c>
      <c r="T249">
        <f t="shared" si="14"/>
        <v>2025</v>
      </c>
      <c r="U249" s="2" t="str">
        <f t="shared" si="15"/>
        <v>Q3</v>
      </c>
      <c r="V249" t="str">
        <f t="shared" si="16"/>
        <v>Failed</v>
      </c>
    </row>
    <row r="250" spans="1:22" x14ac:dyDescent="0.3">
      <c r="A250" s="2">
        <v>249</v>
      </c>
      <c r="B250" s="1">
        <v>45906</v>
      </c>
      <c r="C250" s="2" t="s">
        <v>16</v>
      </c>
      <c r="D250">
        <v>1910</v>
      </c>
      <c r="E250">
        <v>1050</v>
      </c>
      <c r="F250">
        <v>761</v>
      </c>
      <c r="G250">
        <v>3562</v>
      </c>
      <c r="H250">
        <v>1216</v>
      </c>
      <c r="I250">
        <v>0.28386835300000002</v>
      </c>
      <c r="J250">
        <v>2.9408771439999999</v>
      </c>
      <c r="K250">
        <v>3516</v>
      </c>
      <c r="L250">
        <v>1902</v>
      </c>
      <c r="M250" s="2">
        <v>1</v>
      </c>
      <c r="N250">
        <v>1.093897887</v>
      </c>
      <c r="O250">
        <v>0.96641463000000005</v>
      </c>
      <c r="P250" t="b">
        <v>0</v>
      </c>
      <c r="Q250">
        <v>0.36876533099999997</v>
      </c>
      <c r="R250" s="2">
        <v>1</v>
      </c>
      <c r="S250" s="2" t="str">
        <f t="shared" si="13"/>
        <v>Sep</v>
      </c>
      <c r="T250">
        <f t="shared" si="14"/>
        <v>2025</v>
      </c>
      <c r="U250" s="2" t="str">
        <f t="shared" si="15"/>
        <v>Q3</v>
      </c>
      <c r="V250" t="str">
        <f t="shared" si="16"/>
        <v>Completed</v>
      </c>
    </row>
    <row r="251" spans="1:22" x14ac:dyDescent="0.3">
      <c r="A251" s="2">
        <v>250</v>
      </c>
      <c r="B251" s="1">
        <v>45907</v>
      </c>
      <c r="C251" s="2" t="s">
        <v>17</v>
      </c>
      <c r="D251">
        <v>460</v>
      </c>
      <c r="E251">
        <v>3462</v>
      </c>
      <c r="F251">
        <v>711</v>
      </c>
      <c r="G251">
        <v>3736</v>
      </c>
      <c r="H251">
        <v>3649</v>
      </c>
      <c r="I251">
        <v>0.75060786400000001</v>
      </c>
      <c r="J251">
        <v>2.6204737329999999</v>
      </c>
      <c r="K251">
        <v>898</v>
      </c>
      <c r="L251">
        <v>2738</v>
      </c>
      <c r="M251" s="2">
        <v>5</v>
      </c>
      <c r="N251">
        <v>0.92115703299999996</v>
      </c>
      <c r="O251">
        <v>0.84411557699999995</v>
      </c>
      <c r="P251" t="b">
        <v>0</v>
      </c>
      <c r="Q251">
        <v>7.2363042000000002E-2</v>
      </c>
      <c r="R251" s="2">
        <v>1</v>
      </c>
      <c r="S251" s="2" t="str">
        <f t="shared" si="13"/>
        <v>Sep</v>
      </c>
      <c r="T251">
        <f t="shared" si="14"/>
        <v>2025</v>
      </c>
      <c r="U251" s="2" t="str">
        <f t="shared" si="15"/>
        <v>Q3</v>
      </c>
      <c r="V251" t="str">
        <f t="shared" si="16"/>
        <v>Completed</v>
      </c>
    </row>
    <row r="252" spans="1:22" x14ac:dyDescent="0.3">
      <c r="A252" s="2">
        <v>251</v>
      </c>
      <c r="B252" s="1">
        <v>45908</v>
      </c>
      <c r="C252" s="2" t="s">
        <v>18</v>
      </c>
      <c r="D252">
        <v>1217</v>
      </c>
      <c r="E252">
        <v>565</v>
      </c>
      <c r="F252">
        <v>1812</v>
      </c>
      <c r="G252">
        <v>4367</v>
      </c>
      <c r="H252">
        <v>3109</v>
      </c>
      <c r="I252">
        <v>0.73075359200000001</v>
      </c>
      <c r="J252">
        <v>0.950036192</v>
      </c>
      <c r="K252">
        <v>3238</v>
      </c>
      <c r="L252">
        <v>498</v>
      </c>
      <c r="M252" s="2">
        <v>6</v>
      </c>
      <c r="N252">
        <v>1.2806802319999999</v>
      </c>
      <c r="O252">
        <v>0.99229564999999997</v>
      </c>
      <c r="P252" t="b">
        <v>0</v>
      </c>
      <c r="Q252">
        <v>0.227105478</v>
      </c>
      <c r="R252" s="2">
        <v>1</v>
      </c>
      <c r="S252" s="2" t="str">
        <f t="shared" si="13"/>
        <v>Sep</v>
      </c>
      <c r="T252">
        <f t="shared" si="14"/>
        <v>2025</v>
      </c>
      <c r="U252" s="2" t="str">
        <f t="shared" si="15"/>
        <v>Q3</v>
      </c>
      <c r="V252" t="str">
        <f t="shared" si="16"/>
        <v>Completed</v>
      </c>
    </row>
    <row r="253" spans="1:22" x14ac:dyDescent="0.3">
      <c r="A253" s="2">
        <v>252</v>
      </c>
      <c r="B253" s="1">
        <v>45909</v>
      </c>
      <c r="C253" s="2" t="s">
        <v>18</v>
      </c>
      <c r="D253">
        <v>570</v>
      </c>
      <c r="E253">
        <v>3663</v>
      </c>
      <c r="F253">
        <v>1919</v>
      </c>
      <c r="G253">
        <v>3541</v>
      </c>
      <c r="H253">
        <v>2811</v>
      </c>
      <c r="I253">
        <v>0.58338236899999996</v>
      </c>
      <c r="J253">
        <v>2.6284319799999998</v>
      </c>
      <c r="K253">
        <v>871</v>
      </c>
      <c r="L253">
        <v>2307</v>
      </c>
      <c r="M253" s="2">
        <v>4</v>
      </c>
      <c r="N253">
        <v>1.8133360430000001</v>
      </c>
      <c r="O253">
        <v>0.89859586499999999</v>
      </c>
      <c r="P253" t="b">
        <v>0</v>
      </c>
      <c r="Q253">
        <v>9.4848733000000005E-2</v>
      </c>
      <c r="R253" s="2">
        <v>1</v>
      </c>
      <c r="S253" s="2" t="str">
        <f t="shared" si="13"/>
        <v>Sep</v>
      </c>
      <c r="T253">
        <f t="shared" si="14"/>
        <v>2025</v>
      </c>
      <c r="U253" s="2" t="str">
        <f t="shared" si="15"/>
        <v>Q3</v>
      </c>
      <c r="V253" t="str">
        <f t="shared" si="16"/>
        <v>Completed</v>
      </c>
    </row>
    <row r="254" spans="1:22" x14ac:dyDescent="0.3">
      <c r="A254" s="2">
        <v>253</v>
      </c>
      <c r="B254" s="1">
        <v>45910</v>
      </c>
      <c r="C254" s="2" t="s">
        <v>18</v>
      </c>
      <c r="D254">
        <v>4749</v>
      </c>
      <c r="E254">
        <v>3298</v>
      </c>
      <c r="F254">
        <v>2713</v>
      </c>
      <c r="G254">
        <v>4678</v>
      </c>
      <c r="H254">
        <v>3047</v>
      </c>
      <c r="I254">
        <v>0.63409789699999997</v>
      </c>
      <c r="J254">
        <v>2.1688739629999998</v>
      </c>
      <c r="K254">
        <v>1495</v>
      </c>
      <c r="L254">
        <v>3258</v>
      </c>
      <c r="M254" s="2">
        <v>2</v>
      </c>
      <c r="N254">
        <v>0.94541018799999998</v>
      </c>
      <c r="O254">
        <v>0.83491855599999998</v>
      </c>
      <c r="P254" t="b">
        <v>0</v>
      </c>
      <c r="Q254">
        <v>0.94910057199999998</v>
      </c>
      <c r="R254" s="2">
        <v>1</v>
      </c>
      <c r="S254" s="2" t="str">
        <f t="shared" si="13"/>
        <v>Sep</v>
      </c>
      <c r="T254">
        <f t="shared" si="14"/>
        <v>2025</v>
      </c>
      <c r="U254" s="2" t="str">
        <f t="shared" si="15"/>
        <v>Q3</v>
      </c>
      <c r="V254" t="str">
        <f t="shared" si="16"/>
        <v>Completed</v>
      </c>
    </row>
    <row r="255" spans="1:22" x14ac:dyDescent="0.3">
      <c r="A255" s="2">
        <v>254</v>
      </c>
      <c r="B255" s="1">
        <v>45911</v>
      </c>
      <c r="C255" s="2" t="s">
        <v>17</v>
      </c>
      <c r="D255">
        <v>2882</v>
      </c>
      <c r="E255">
        <v>2584</v>
      </c>
      <c r="F255">
        <v>209</v>
      </c>
      <c r="G255">
        <v>4021</v>
      </c>
      <c r="H255">
        <v>1357</v>
      </c>
      <c r="I255">
        <v>0.52647876800000004</v>
      </c>
      <c r="J255">
        <v>1.5778504980000001</v>
      </c>
      <c r="K255">
        <v>4018</v>
      </c>
      <c r="L255">
        <v>2225</v>
      </c>
      <c r="M255" s="2">
        <v>7</v>
      </c>
      <c r="N255">
        <v>0.92223655100000002</v>
      </c>
      <c r="O255">
        <v>0.90016552800000005</v>
      </c>
      <c r="P255" t="b">
        <v>0</v>
      </c>
      <c r="Q255">
        <v>0.56745707300000003</v>
      </c>
      <c r="R255" s="2">
        <v>1</v>
      </c>
      <c r="S255" s="2" t="str">
        <f t="shared" si="13"/>
        <v>Sep</v>
      </c>
      <c r="T255">
        <f t="shared" si="14"/>
        <v>2025</v>
      </c>
      <c r="U255" s="2" t="str">
        <f t="shared" si="15"/>
        <v>Q3</v>
      </c>
      <c r="V255" t="str">
        <f t="shared" si="16"/>
        <v>Completed</v>
      </c>
    </row>
    <row r="256" spans="1:22" x14ac:dyDescent="0.3">
      <c r="A256" s="2">
        <v>255</v>
      </c>
      <c r="B256" s="1">
        <v>45912</v>
      </c>
      <c r="C256" s="2" t="s">
        <v>5</v>
      </c>
      <c r="D256">
        <v>214</v>
      </c>
      <c r="E256">
        <v>2708</v>
      </c>
      <c r="F256">
        <v>2402</v>
      </c>
      <c r="G256">
        <v>1150</v>
      </c>
      <c r="H256">
        <v>2584</v>
      </c>
      <c r="I256">
        <v>0.67193873299999995</v>
      </c>
      <c r="J256">
        <v>2.9154740019999998</v>
      </c>
      <c r="K256">
        <v>2878</v>
      </c>
      <c r="L256">
        <v>2433</v>
      </c>
      <c r="M256" s="2">
        <v>8</v>
      </c>
      <c r="N256">
        <v>1.4188669350000001</v>
      </c>
      <c r="O256">
        <v>0.96398434399999999</v>
      </c>
      <c r="P256" t="b">
        <v>0</v>
      </c>
      <c r="Q256">
        <v>2.207686E-2</v>
      </c>
      <c r="R256" s="2">
        <v>1</v>
      </c>
      <c r="S256" s="2" t="str">
        <f t="shared" si="13"/>
        <v>Sep</v>
      </c>
      <c r="T256">
        <f t="shared" si="14"/>
        <v>2025</v>
      </c>
      <c r="U256" s="2" t="str">
        <f t="shared" si="15"/>
        <v>Q3</v>
      </c>
      <c r="V256" t="str">
        <f t="shared" si="16"/>
        <v>Completed</v>
      </c>
    </row>
    <row r="257" spans="1:22" x14ac:dyDescent="0.3">
      <c r="A257" s="2">
        <v>256</v>
      </c>
      <c r="B257" s="1">
        <v>45913</v>
      </c>
      <c r="C257" s="2" t="s">
        <v>16</v>
      </c>
      <c r="D257">
        <v>4674</v>
      </c>
      <c r="E257">
        <v>1110</v>
      </c>
      <c r="F257">
        <v>2532</v>
      </c>
      <c r="G257">
        <v>1068</v>
      </c>
      <c r="H257">
        <v>2858</v>
      </c>
      <c r="I257">
        <v>0.57464247300000004</v>
      </c>
      <c r="J257">
        <v>2.4602629930000002</v>
      </c>
      <c r="K257">
        <v>1092</v>
      </c>
      <c r="L257">
        <v>1468</v>
      </c>
      <c r="M257" s="2">
        <v>4</v>
      </c>
      <c r="N257">
        <v>1.564981889</v>
      </c>
      <c r="O257">
        <v>0.84837841999999997</v>
      </c>
      <c r="P257" t="b">
        <v>0</v>
      </c>
      <c r="Q257">
        <v>0.93376941899999999</v>
      </c>
      <c r="R257" s="2">
        <v>1</v>
      </c>
      <c r="S257" s="2" t="str">
        <f t="shared" si="13"/>
        <v>Sep</v>
      </c>
      <c r="T257">
        <f t="shared" si="14"/>
        <v>2025</v>
      </c>
      <c r="U257" s="2" t="str">
        <f t="shared" si="15"/>
        <v>Q3</v>
      </c>
      <c r="V257" t="str">
        <f t="shared" si="16"/>
        <v>Completed</v>
      </c>
    </row>
    <row r="258" spans="1:22" x14ac:dyDescent="0.3">
      <c r="A258" s="2">
        <v>257</v>
      </c>
      <c r="B258" s="1">
        <v>45914</v>
      </c>
      <c r="C258" s="2" t="s">
        <v>17</v>
      </c>
      <c r="D258">
        <v>1700</v>
      </c>
      <c r="E258">
        <v>2486</v>
      </c>
      <c r="F258">
        <v>398</v>
      </c>
      <c r="G258">
        <v>681</v>
      </c>
      <c r="H258">
        <v>3174</v>
      </c>
      <c r="I258">
        <v>0.65176289300000001</v>
      </c>
      <c r="J258">
        <v>0.61417028799999995</v>
      </c>
      <c r="K258">
        <v>2766</v>
      </c>
      <c r="L258">
        <v>662</v>
      </c>
      <c r="M258" s="2">
        <v>4</v>
      </c>
      <c r="N258">
        <v>1.117022263</v>
      </c>
      <c r="O258">
        <v>0.86463960500000003</v>
      </c>
      <c r="P258" t="b">
        <v>0</v>
      </c>
      <c r="Q258">
        <v>0.32583810299999999</v>
      </c>
      <c r="R258" s="2">
        <v>1</v>
      </c>
      <c r="S258" s="2" t="str">
        <f t="shared" ref="S258:S321" si="17">TEXT(B258,"MMM")</f>
        <v>Sep</v>
      </c>
      <c r="T258">
        <f t="shared" ref="T258:T321" si="18">YEAR(B258)</f>
        <v>2025</v>
      </c>
      <c r="U258" s="2" t="str">
        <f t="shared" si="15"/>
        <v>Q3</v>
      </c>
      <c r="V258" t="str">
        <f t="shared" si="16"/>
        <v>Completed</v>
      </c>
    </row>
    <row r="259" spans="1:22" x14ac:dyDescent="0.3">
      <c r="A259" s="2">
        <v>258</v>
      </c>
      <c r="B259" s="1">
        <v>45915</v>
      </c>
      <c r="C259" s="2" t="s">
        <v>17</v>
      </c>
      <c r="D259">
        <v>3221</v>
      </c>
      <c r="E259">
        <v>4081</v>
      </c>
      <c r="F259">
        <v>3629</v>
      </c>
      <c r="G259">
        <v>3528</v>
      </c>
      <c r="H259">
        <v>2248</v>
      </c>
      <c r="I259">
        <v>0.44309705300000002</v>
      </c>
      <c r="J259">
        <v>2.8010324930000001</v>
      </c>
      <c r="K259">
        <v>1739</v>
      </c>
      <c r="L259">
        <v>1019</v>
      </c>
      <c r="M259" s="2">
        <v>2</v>
      </c>
      <c r="N259">
        <v>1.018381615</v>
      </c>
      <c r="O259">
        <v>0.82389863500000005</v>
      </c>
      <c r="P259" t="b">
        <v>0</v>
      </c>
      <c r="Q259">
        <v>0.63675388399999999</v>
      </c>
      <c r="R259" s="2">
        <v>1</v>
      </c>
      <c r="S259" s="2" t="str">
        <f t="shared" si="17"/>
        <v>Sep</v>
      </c>
      <c r="T259">
        <f t="shared" si="18"/>
        <v>2025</v>
      </c>
      <c r="U259" s="2" t="str">
        <f t="shared" ref="U259:U322" si="19">"Q"&amp;ROUNDUP(MONTH(B259)/3,0)</f>
        <v>Q3</v>
      </c>
      <c r="V259" t="str">
        <f t="shared" si="16"/>
        <v>Completed</v>
      </c>
    </row>
    <row r="260" spans="1:22" x14ac:dyDescent="0.3">
      <c r="A260" s="2">
        <v>259</v>
      </c>
      <c r="B260" s="1">
        <v>45916</v>
      </c>
      <c r="C260" s="2" t="s">
        <v>18</v>
      </c>
      <c r="D260">
        <v>4345</v>
      </c>
      <c r="E260">
        <v>2321</v>
      </c>
      <c r="F260">
        <v>2510</v>
      </c>
      <c r="G260">
        <v>2756</v>
      </c>
      <c r="H260">
        <v>1447</v>
      </c>
      <c r="I260">
        <v>0.62695590800000001</v>
      </c>
      <c r="J260">
        <v>1.096431712</v>
      </c>
      <c r="K260">
        <v>4184</v>
      </c>
      <c r="L260">
        <v>1428</v>
      </c>
      <c r="M260" s="2">
        <v>9</v>
      </c>
      <c r="N260">
        <v>0.66952606299999995</v>
      </c>
      <c r="O260">
        <v>0.97166877600000001</v>
      </c>
      <c r="P260" t="b">
        <v>0</v>
      </c>
      <c r="Q260">
        <v>0.86651676200000005</v>
      </c>
      <c r="R260" s="2">
        <v>1</v>
      </c>
      <c r="S260" s="2" t="str">
        <f t="shared" si="17"/>
        <v>Sep</v>
      </c>
      <c r="T260">
        <f t="shared" si="18"/>
        <v>2025</v>
      </c>
      <c r="U260" s="2" t="str">
        <f t="shared" si="19"/>
        <v>Q3</v>
      </c>
      <c r="V260" t="str">
        <f t="shared" ref="V260:V323" si="20">IF(R259=1,"Completed","Failed")</f>
        <v>Completed</v>
      </c>
    </row>
    <row r="261" spans="1:22" x14ac:dyDescent="0.3">
      <c r="A261" s="2">
        <v>260</v>
      </c>
      <c r="B261" s="1">
        <v>45917</v>
      </c>
      <c r="C261" s="2" t="s">
        <v>16</v>
      </c>
      <c r="D261">
        <v>4773</v>
      </c>
      <c r="E261">
        <v>1573</v>
      </c>
      <c r="F261">
        <v>2003</v>
      </c>
      <c r="G261">
        <v>3748</v>
      </c>
      <c r="H261">
        <v>2032</v>
      </c>
      <c r="I261">
        <v>0.380421656</v>
      </c>
      <c r="J261">
        <v>1.2324859189999999</v>
      </c>
      <c r="K261">
        <v>3379</v>
      </c>
      <c r="L261">
        <v>659</v>
      </c>
      <c r="M261" s="2">
        <v>3</v>
      </c>
      <c r="N261">
        <v>0.53821970900000005</v>
      </c>
      <c r="O261">
        <v>0.90735156699999997</v>
      </c>
      <c r="P261" t="b">
        <v>0</v>
      </c>
      <c r="Q261">
        <v>0.95400654100000004</v>
      </c>
      <c r="R261" s="2">
        <v>1</v>
      </c>
      <c r="S261" s="2" t="str">
        <f t="shared" si="17"/>
        <v>Sep</v>
      </c>
      <c r="T261">
        <f t="shared" si="18"/>
        <v>2025</v>
      </c>
      <c r="U261" s="2" t="str">
        <f t="shared" si="19"/>
        <v>Q3</v>
      </c>
      <c r="V261" t="str">
        <f t="shared" si="20"/>
        <v>Completed</v>
      </c>
    </row>
    <row r="262" spans="1:22" x14ac:dyDescent="0.3">
      <c r="A262" s="2">
        <v>261</v>
      </c>
      <c r="B262" s="1">
        <v>45918</v>
      </c>
      <c r="C262" s="2" t="s">
        <v>16</v>
      </c>
      <c r="D262">
        <v>2420</v>
      </c>
      <c r="E262">
        <v>2383</v>
      </c>
      <c r="F262">
        <v>379</v>
      </c>
      <c r="G262">
        <v>435</v>
      </c>
      <c r="H262">
        <v>2088</v>
      </c>
      <c r="I262">
        <v>0.74340908400000005</v>
      </c>
      <c r="J262">
        <v>2.9659027560000002</v>
      </c>
      <c r="K262">
        <v>220</v>
      </c>
      <c r="L262">
        <v>3243</v>
      </c>
      <c r="M262" s="2">
        <v>3</v>
      </c>
      <c r="N262">
        <v>0.63603414400000002</v>
      </c>
      <c r="O262">
        <v>0.98460066599999996</v>
      </c>
      <c r="P262" t="b">
        <v>0</v>
      </c>
      <c r="Q262">
        <v>0.47301717100000001</v>
      </c>
      <c r="R262" s="2">
        <v>1</v>
      </c>
      <c r="S262" s="2" t="str">
        <f t="shared" si="17"/>
        <v>Sep</v>
      </c>
      <c r="T262">
        <f t="shared" si="18"/>
        <v>2025</v>
      </c>
      <c r="U262" s="2" t="str">
        <f t="shared" si="19"/>
        <v>Q3</v>
      </c>
      <c r="V262" t="str">
        <f t="shared" si="20"/>
        <v>Completed</v>
      </c>
    </row>
    <row r="263" spans="1:22" x14ac:dyDescent="0.3">
      <c r="A263" s="2">
        <v>262</v>
      </c>
      <c r="B263" s="1">
        <v>45919</v>
      </c>
      <c r="C263" s="2" t="s">
        <v>5</v>
      </c>
      <c r="D263">
        <v>2629</v>
      </c>
      <c r="E263">
        <v>1120</v>
      </c>
      <c r="F263">
        <v>1610</v>
      </c>
      <c r="G263">
        <v>707</v>
      </c>
      <c r="H263">
        <v>184</v>
      </c>
      <c r="I263">
        <v>0.446737989</v>
      </c>
      <c r="J263">
        <v>2.7380183269999998</v>
      </c>
      <c r="K263">
        <v>377</v>
      </c>
      <c r="L263">
        <v>2419</v>
      </c>
      <c r="M263" s="2">
        <v>6</v>
      </c>
      <c r="N263">
        <v>0.84512667500000005</v>
      </c>
      <c r="O263">
        <v>0.93243659700000003</v>
      </c>
      <c r="P263" t="b">
        <v>0</v>
      </c>
      <c r="Q263">
        <v>0.51573998399999998</v>
      </c>
      <c r="R263" s="2">
        <v>1</v>
      </c>
      <c r="S263" s="2" t="str">
        <f t="shared" si="17"/>
        <v>Sep</v>
      </c>
      <c r="T263">
        <f t="shared" si="18"/>
        <v>2025</v>
      </c>
      <c r="U263" s="2" t="str">
        <f t="shared" si="19"/>
        <v>Q3</v>
      </c>
      <c r="V263" t="str">
        <f t="shared" si="20"/>
        <v>Completed</v>
      </c>
    </row>
    <row r="264" spans="1:22" x14ac:dyDescent="0.3">
      <c r="A264" s="2">
        <v>263</v>
      </c>
      <c r="B264" s="1">
        <v>45920</v>
      </c>
      <c r="C264" s="2" t="s">
        <v>18</v>
      </c>
      <c r="D264">
        <v>2474</v>
      </c>
      <c r="E264">
        <v>3826</v>
      </c>
      <c r="F264">
        <v>3663</v>
      </c>
      <c r="G264">
        <v>1760</v>
      </c>
      <c r="H264">
        <v>1546</v>
      </c>
      <c r="I264">
        <v>0.40236925800000001</v>
      </c>
      <c r="J264">
        <v>2.8959979370000002</v>
      </c>
      <c r="K264">
        <v>2230</v>
      </c>
      <c r="L264">
        <v>2974</v>
      </c>
      <c r="M264" s="2">
        <v>2</v>
      </c>
      <c r="N264">
        <v>1.6403164299999999</v>
      </c>
      <c r="O264">
        <v>0.94945819499999995</v>
      </c>
      <c r="P264" t="b">
        <v>0</v>
      </c>
      <c r="Q264">
        <v>0.484055601</v>
      </c>
      <c r="R264" s="2">
        <v>1</v>
      </c>
      <c r="S264" s="2" t="str">
        <f t="shared" si="17"/>
        <v>Sep</v>
      </c>
      <c r="T264">
        <f t="shared" si="18"/>
        <v>2025</v>
      </c>
      <c r="U264" s="2" t="str">
        <f t="shared" si="19"/>
        <v>Q3</v>
      </c>
      <c r="V264" t="str">
        <f t="shared" si="20"/>
        <v>Completed</v>
      </c>
    </row>
    <row r="265" spans="1:22" x14ac:dyDescent="0.3">
      <c r="A265" s="2">
        <v>264</v>
      </c>
      <c r="B265" s="1">
        <v>45921</v>
      </c>
      <c r="C265" s="2" t="s">
        <v>16</v>
      </c>
      <c r="D265">
        <v>4373</v>
      </c>
      <c r="E265">
        <v>2718</v>
      </c>
      <c r="F265">
        <v>2731</v>
      </c>
      <c r="G265">
        <v>1186</v>
      </c>
      <c r="H265">
        <v>1933</v>
      </c>
      <c r="I265">
        <v>0.719618545</v>
      </c>
      <c r="J265">
        <v>2.6386325199999998</v>
      </c>
      <c r="K265">
        <v>4971</v>
      </c>
      <c r="L265">
        <v>3278</v>
      </c>
      <c r="M265" s="2">
        <v>5</v>
      </c>
      <c r="N265">
        <v>0.53588388300000001</v>
      </c>
      <c r="O265">
        <v>0.83245199199999997</v>
      </c>
      <c r="P265" t="b">
        <v>0</v>
      </c>
      <c r="Q265">
        <v>0.87224039200000003</v>
      </c>
      <c r="R265" s="2">
        <v>1</v>
      </c>
      <c r="S265" s="2" t="str">
        <f t="shared" si="17"/>
        <v>Sep</v>
      </c>
      <c r="T265">
        <f t="shared" si="18"/>
        <v>2025</v>
      </c>
      <c r="U265" s="2" t="str">
        <f t="shared" si="19"/>
        <v>Q3</v>
      </c>
      <c r="V265" t="str">
        <f t="shared" si="20"/>
        <v>Completed</v>
      </c>
    </row>
    <row r="266" spans="1:22" x14ac:dyDescent="0.3">
      <c r="A266" s="2">
        <v>265</v>
      </c>
      <c r="B266" s="1">
        <v>45922</v>
      </c>
      <c r="C266" s="2" t="s">
        <v>16</v>
      </c>
      <c r="D266">
        <v>3706</v>
      </c>
      <c r="E266">
        <v>3084</v>
      </c>
      <c r="F266">
        <v>3975</v>
      </c>
      <c r="G266">
        <v>3049</v>
      </c>
      <c r="H266">
        <v>1466</v>
      </c>
      <c r="I266">
        <v>0.455712899</v>
      </c>
      <c r="J266">
        <v>1.0985803350000001</v>
      </c>
      <c r="K266">
        <v>1864</v>
      </c>
      <c r="L266">
        <v>3468</v>
      </c>
      <c r="M266" s="2">
        <v>8</v>
      </c>
      <c r="N266">
        <v>0.63156505699999999</v>
      </c>
      <c r="O266">
        <v>0.85238340099999999</v>
      </c>
      <c r="P266" t="b">
        <v>0</v>
      </c>
      <c r="Q266">
        <v>0.73589533900000004</v>
      </c>
      <c r="R266" s="2">
        <v>1</v>
      </c>
      <c r="S266" s="2" t="str">
        <f t="shared" si="17"/>
        <v>Sep</v>
      </c>
      <c r="T266">
        <f t="shared" si="18"/>
        <v>2025</v>
      </c>
      <c r="U266" s="2" t="str">
        <f t="shared" si="19"/>
        <v>Q3</v>
      </c>
      <c r="V266" t="str">
        <f t="shared" si="20"/>
        <v>Completed</v>
      </c>
    </row>
    <row r="267" spans="1:22" x14ac:dyDescent="0.3">
      <c r="A267" s="2">
        <v>266</v>
      </c>
      <c r="B267" s="1">
        <v>45923</v>
      </c>
      <c r="C267" s="2" t="s">
        <v>18</v>
      </c>
      <c r="D267">
        <v>1761</v>
      </c>
      <c r="E267">
        <v>1216</v>
      </c>
      <c r="F267">
        <v>2031</v>
      </c>
      <c r="G267">
        <v>478</v>
      </c>
      <c r="H267">
        <v>3668</v>
      </c>
      <c r="I267">
        <v>0.33925941199999998</v>
      </c>
      <c r="J267">
        <v>0.64776537999999995</v>
      </c>
      <c r="K267">
        <v>4628</v>
      </c>
      <c r="L267">
        <v>2264</v>
      </c>
      <c r="M267" s="2">
        <v>6</v>
      </c>
      <c r="N267">
        <v>0.70018657799999995</v>
      </c>
      <c r="O267">
        <v>0.90796346699999997</v>
      </c>
      <c r="P267" t="b">
        <v>0</v>
      </c>
      <c r="Q267">
        <v>0.33830744099999999</v>
      </c>
      <c r="R267" s="2">
        <v>1</v>
      </c>
      <c r="S267" s="2" t="str">
        <f t="shared" si="17"/>
        <v>Sep</v>
      </c>
      <c r="T267">
        <f t="shared" si="18"/>
        <v>2025</v>
      </c>
      <c r="U267" s="2" t="str">
        <f t="shared" si="19"/>
        <v>Q3</v>
      </c>
      <c r="V267" t="str">
        <f t="shared" si="20"/>
        <v>Completed</v>
      </c>
    </row>
    <row r="268" spans="1:22" x14ac:dyDescent="0.3">
      <c r="A268" s="2">
        <v>267</v>
      </c>
      <c r="B268" s="1">
        <v>45924</v>
      </c>
      <c r="C268" s="2" t="s">
        <v>17</v>
      </c>
      <c r="D268">
        <v>4524</v>
      </c>
      <c r="E268">
        <v>4052</v>
      </c>
      <c r="F268">
        <v>3636</v>
      </c>
      <c r="G268">
        <v>915</v>
      </c>
      <c r="H268">
        <v>1350</v>
      </c>
      <c r="I268">
        <v>0.63734166199999998</v>
      </c>
      <c r="J268">
        <v>1.0843504690000001</v>
      </c>
      <c r="K268">
        <v>2084</v>
      </c>
      <c r="L268">
        <v>543</v>
      </c>
      <c r="M268" s="2">
        <v>3</v>
      </c>
      <c r="N268">
        <v>0.79523232499999996</v>
      </c>
      <c r="O268">
        <v>0.92812226900000006</v>
      </c>
      <c r="P268" t="b">
        <v>0</v>
      </c>
      <c r="Q268">
        <v>0.90310711399999999</v>
      </c>
      <c r="R268" s="2">
        <v>1</v>
      </c>
      <c r="S268" s="2" t="str">
        <f t="shared" si="17"/>
        <v>Sep</v>
      </c>
      <c r="T268">
        <f t="shared" si="18"/>
        <v>2025</v>
      </c>
      <c r="U268" s="2" t="str">
        <f t="shared" si="19"/>
        <v>Q3</v>
      </c>
      <c r="V268" t="str">
        <f t="shared" si="20"/>
        <v>Completed</v>
      </c>
    </row>
    <row r="269" spans="1:22" x14ac:dyDescent="0.3">
      <c r="A269" s="2">
        <v>268</v>
      </c>
      <c r="B269" s="1">
        <v>45925</v>
      </c>
      <c r="C269" s="2" t="s">
        <v>5</v>
      </c>
      <c r="D269">
        <v>3452</v>
      </c>
      <c r="E269">
        <v>852</v>
      </c>
      <c r="F269">
        <v>3459</v>
      </c>
      <c r="G269">
        <v>2426</v>
      </c>
      <c r="H269">
        <v>3471</v>
      </c>
      <c r="I269">
        <v>0.30862830400000002</v>
      </c>
      <c r="J269">
        <v>0.98923689599999998</v>
      </c>
      <c r="K269">
        <v>680</v>
      </c>
      <c r="L269">
        <v>3007</v>
      </c>
      <c r="M269" s="2">
        <v>2</v>
      </c>
      <c r="N269">
        <v>1.163222763</v>
      </c>
      <c r="O269">
        <v>0.86778660799999996</v>
      </c>
      <c r="P269" t="b">
        <v>1</v>
      </c>
      <c r="Q269">
        <v>0.68397383499999997</v>
      </c>
      <c r="R269" s="2">
        <v>1</v>
      </c>
      <c r="S269" s="2" t="str">
        <f t="shared" si="17"/>
        <v>Sep</v>
      </c>
      <c r="T269">
        <f t="shared" si="18"/>
        <v>2025</v>
      </c>
      <c r="U269" s="2" t="str">
        <f t="shared" si="19"/>
        <v>Q3</v>
      </c>
      <c r="V269" t="str">
        <f t="shared" si="20"/>
        <v>Completed</v>
      </c>
    </row>
    <row r="270" spans="1:22" x14ac:dyDescent="0.3">
      <c r="A270" s="2">
        <v>269</v>
      </c>
      <c r="B270" s="1">
        <v>45926</v>
      </c>
      <c r="C270" s="2" t="s">
        <v>16</v>
      </c>
      <c r="D270">
        <v>314</v>
      </c>
      <c r="E270">
        <v>1481</v>
      </c>
      <c r="F270">
        <v>3729</v>
      </c>
      <c r="G270">
        <v>602</v>
      </c>
      <c r="H270">
        <v>3804</v>
      </c>
      <c r="I270">
        <v>0.35477056699999998</v>
      </c>
      <c r="J270">
        <v>2.7986339789999999</v>
      </c>
      <c r="K270">
        <v>3639</v>
      </c>
      <c r="L270">
        <v>1118</v>
      </c>
      <c r="M270" s="2">
        <v>5</v>
      </c>
      <c r="N270">
        <v>0.76872767399999997</v>
      </c>
      <c r="O270">
        <v>0.80623943499999995</v>
      </c>
      <c r="P270" t="b">
        <v>0</v>
      </c>
      <c r="Q270">
        <v>4.2518396999999999E-2</v>
      </c>
      <c r="R270" s="2">
        <v>1</v>
      </c>
      <c r="S270" s="2" t="str">
        <f t="shared" si="17"/>
        <v>Sep</v>
      </c>
      <c r="T270">
        <f t="shared" si="18"/>
        <v>2025</v>
      </c>
      <c r="U270" s="2" t="str">
        <f t="shared" si="19"/>
        <v>Q3</v>
      </c>
      <c r="V270" t="str">
        <f t="shared" si="20"/>
        <v>Completed</v>
      </c>
    </row>
    <row r="271" spans="1:22" x14ac:dyDescent="0.3">
      <c r="A271" s="2">
        <v>270</v>
      </c>
      <c r="B271" s="1">
        <v>45927</v>
      </c>
      <c r="C271" s="2" t="s">
        <v>5</v>
      </c>
      <c r="D271">
        <v>222</v>
      </c>
      <c r="E271">
        <v>3734</v>
      </c>
      <c r="F271">
        <v>2768</v>
      </c>
      <c r="G271">
        <v>1862</v>
      </c>
      <c r="H271">
        <v>1721</v>
      </c>
      <c r="I271">
        <v>0.69982997800000002</v>
      </c>
      <c r="J271">
        <v>0.78378383100000004</v>
      </c>
      <c r="K271">
        <v>1906</v>
      </c>
      <c r="L271">
        <v>1142</v>
      </c>
      <c r="M271" s="2">
        <v>8</v>
      </c>
      <c r="N271">
        <v>0.88444317699999997</v>
      </c>
      <c r="O271">
        <v>0.93291728100000004</v>
      </c>
      <c r="P271" t="b">
        <v>0</v>
      </c>
      <c r="Q271">
        <v>2.3712183000000001E-2</v>
      </c>
      <c r="R271" s="2">
        <v>1</v>
      </c>
      <c r="S271" s="2" t="str">
        <f t="shared" si="17"/>
        <v>Sep</v>
      </c>
      <c r="T271">
        <f t="shared" si="18"/>
        <v>2025</v>
      </c>
      <c r="U271" s="2" t="str">
        <f t="shared" si="19"/>
        <v>Q3</v>
      </c>
      <c r="V271" t="str">
        <f t="shared" si="20"/>
        <v>Completed</v>
      </c>
    </row>
    <row r="272" spans="1:22" x14ac:dyDescent="0.3">
      <c r="A272" s="2">
        <v>271</v>
      </c>
      <c r="B272" s="1">
        <v>45928</v>
      </c>
      <c r="C272" s="2" t="s">
        <v>18</v>
      </c>
      <c r="D272">
        <v>2034</v>
      </c>
      <c r="E272">
        <v>2853</v>
      </c>
      <c r="F272">
        <v>810</v>
      </c>
      <c r="G272">
        <v>321</v>
      </c>
      <c r="H272">
        <v>565</v>
      </c>
      <c r="I272">
        <v>0.56099748400000005</v>
      </c>
      <c r="J272">
        <v>1.5942063989999999</v>
      </c>
      <c r="K272">
        <v>614</v>
      </c>
      <c r="L272">
        <v>120</v>
      </c>
      <c r="M272" s="2">
        <v>1</v>
      </c>
      <c r="N272">
        <v>0.73054274600000002</v>
      </c>
      <c r="O272">
        <v>0.97813079000000003</v>
      </c>
      <c r="P272" t="b">
        <v>0</v>
      </c>
      <c r="Q272">
        <v>0.39411283699999999</v>
      </c>
      <c r="R272" s="2">
        <v>1</v>
      </c>
      <c r="S272" s="2" t="str">
        <f t="shared" si="17"/>
        <v>Sep</v>
      </c>
      <c r="T272">
        <f t="shared" si="18"/>
        <v>2025</v>
      </c>
      <c r="U272" s="2" t="str">
        <f t="shared" si="19"/>
        <v>Q3</v>
      </c>
      <c r="V272" t="str">
        <f t="shared" si="20"/>
        <v>Completed</v>
      </c>
    </row>
    <row r="273" spans="1:22" x14ac:dyDescent="0.3">
      <c r="A273" s="2">
        <v>272</v>
      </c>
      <c r="B273" s="1">
        <v>45929</v>
      </c>
      <c r="C273" s="2" t="s">
        <v>16</v>
      </c>
      <c r="D273">
        <v>4516</v>
      </c>
      <c r="E273">
        <v>3358</v>
      </c>
      <c r="F273">
        <v>1928</v>
      </c>
      <c r="G273">
        <v>4601</v>
      </c>
      <c r="H273">
        <v>1853</v>
      </c>
      <c r="I273">
        <v>0.65181196799999996</v>
      </c>
      <c r="J273">
        <v>0.78334484900000001</v>
      </c>
      <c r="K273">
        <v>468</v>
      </c>
      <c r="L273">
        <v>1127</v>
      </c>
      <c r="M273" s="2">
        <v>8</v>
      </c>
      <c r="N273">
        <v>1.780573314</v>
      </c>
      <c r="O273">
        <v>0.865844638</v>
      </c>
      <c r="P273" t="b">
        <v>0</v>
      </c>
      <c r="Q273">
        <v>0.90147179099999997</v>
      </c>
      <c r="R273" s="2">
        <v>1</v>
      </c>
      <c r="S273" s="2" t="str">
        <f t="shared" si="17"/>
        <v>Sep</v>
      </c>
      <c r="T273">
        <f t="shared" si="18"/>
        <v>2025</v>
      </c>
      <c r="U273" s="2" t="str">
        <f t="shared" si="19"/>
        <v>Q3</v>
      </c>
      <c r="V273" t="str">
        <f t="shared" si="20"/>
        <v>Completed</v>
      </c>
    </row>
    <row r="274" spans="1:22" x14ac:dyDescent="0.3">
      <c r="A274" s="2">
        <v>273</v>
      </c>
      <c r="B274" s="1">
        <v>45930</v>
      </c>
      <c r="C274" s="2" t="s">
        <v>16</v>
      </c>
      <c r="D274">
        <v>2527</v>
      </c>
      <c r="E274">
        <v>2272</v>
      </c>
      <c r="F274">
        <v>2822</v>
      </c>
      <c r="G274">
        <v>3390</v>
      </c>
      <c r="H274">
        <v>3959</v>
      </c>
      <c r="I274">
        <v>0.62825972100000005</v>
      </c>
      <c r="J274">
        <v>1.111030693</v>
      </c>
      <c r="K274">
        <v>2196</v>
      </c>
      <c r="L274">
        <v>454</v>
      </c>
      <c r="M274" s="2">
        <v>4</v>
      </c>
      <c r="N274">
        <v>0.86326906599999997</v>
      </c>
      <c r="O274">
        <v>0.84388595899999996</v>
      </c>
      <c r="P274" t="b">
        <v>0</v>
      </c>
      <c r="Q274">
        <v>0.49488961599999998</v>
      </c>
      <c r="R274" s="2">
        <v>1</v>
      </c>
      <c r="S274" s="2" t="str">
        <f t="shared" si="17"/>
        <v>Sep</v>
      </c>
      <c r="T274">
        <f t="shared" si="18"/>
        <v>2025</v>
      </c>
      <c r="U274" s="2" t="str">
        <f t="shared" si="19"/>
        <v>Q3</v>
      </c>
      <c r="V274" t="str">
        <f t="shared" si="20"/>
        <v>Completed</v>
      </c>
    </row>
    <row r="275" spans="1:22" x14ac:dyDescent="0.3">
      <c r="A275" s="2">
        <v>274</v>
      </c>
      <c r="B275" s="1">
        <v>45931</v>
      </c>
      <c r="C275" s="2" t="s">
        <v>16</v>
      </c>
      <c r="D275">
        <v>2336</v>
      </c>
      <c r="E275">
        <v>804</v>
      </c>
      <c r="F275">
        <v>3694</v>
      </c>
      <c r="G275">
        <v>4440</v>
      </c>
      <c r="H275">
        <v>1085</v>
      </c>
      <c r="I275">
        <v>0.74456923600000002</v>
      </c>
      <c r="J275">
        <v>0.58412545100000002</v>
      </c>
      <c r="K275">
        <v>4981</v>
      </c>
      <c r="L275">
        <v>2151</v>
      </c>
      <c r="M275" s="2">
        <v>4</v>
      </c>
      <c r="N275">
        <v>1.846642667</v>
      </c>
      <c r="O275">
        <v>0.98939743499999999</v>
      </c>
      <c r="P275" t="b">
        <v>0</v>
      </c>
      <c r="Q275">
        <v>0.45584627999999999</v>
      </c>
      <c r="R275" s="2">
        <v>1</v>
      </c>
      <c r="S275" s="2" t="str">
        <f t="shared" si="17"/>
        <v>Oct</v>
      </c>
      <c r="T275">
        <f t="shared" si="18"/>
        <v>2025</v>
      </c>
      <c r="U275" s="2" t="str">
        <f t="shared" si="19"/>
        <v>Q4</v>
      </c>
      <c r="V275" t="str">
        <f t="shared" si="20"/>
        <v>Completed</v>
      </c>
    </row>
    <row r="276" spans="1:22" x14ac:dyDescent="0.3">
      <c r="A276" s="2">
        <v>275</v>
      </c>
      <c r="B276" s="1">
        <v>45932</v>
      </c>
      <c r="C276" s="2" t="s">
        <v>18</v>
      </c>
      <c r="D276">
        <v>1653</v>
      </c>
      <c r="E276">
        <v>2934</v>
      </c>
      <c r="F276">
        <v>1932</v>
      </c>
      <c r="G276">
        <v>1587</v>
      </c>
      <c r="H276">
        <v>600</v>
      </c>
      <c r="I276">
        <v>0.23335387399999999</v>
      </c>
      <c r="J276">
        <v>0.64251052099999995</v>
      </c>
      <c r="K276">
        <v>3318</v>
      </c>
      <c r="L276">
        <v>1117</v>
      </c>
      <c r="M276" s="2">
        <v>7</v>
      </c>
      <c r="N276">
        <v>0.52448545700000004</v>
      </c>
      <c r="O276">
        <v>0.96151215199999995</v>
      </c>
      <c r="P276" t="b">
        <v>1</v>
      </c>
      <c r="Q276">
        <v>0.31623058100000001</v>
      </c>
      <c r="R276" s="2">
        <v>1</v>
      </c>
      <c r="S276" s="2" t="str">
        <f t="shared" si="17"/>
        <v>Oct</v>
      </c>
      <c r="T276">
        <f t="shared" si="18"/>
        <v>2025</v>
      </c>
      <c r="U276" s="2" t="str">
        <f t="shared" si="19"/>
        <v>Q4</v>
      </c>
      <c r="V276" t="str">
        <f t="shared" si="20"/>
        <v>Completed</v>
      </c>
    </row>
    <row r="277" spans="1:22" x14ac:dyDescent="0.3">
      <c r="A277" s="2">
        <v>276</v>
      </c>
      <c r="B277" s="1">
        <v>45933</v>
      </c>
      <c r="C277" s="2" t="s">
        <v>18</v>
      </c>
      <c r="D277">
        <v>156</v>
      </c>
      <c r="E277">
        <v>3815</v>
      </c>
      <c r="F277">
        <v>3844</v>
      </c>
      <c r="G277">
        <v>447</v>
      </c>
      <c r="H277">
        <v>1450</v>
      </c>
      <c r="I277">
        <v>0.21716096800000001</v>
      </c>
      <c r="J277">
        <v>2.8500527400000002</v>
      </c>
      <c r="K277">
        <v>189</v>
      </c>
      <c r="L277">
        <v>392</v>
      </c>
      <c r="M277" s="2">
        <v>7</v>
      </c>
      <c r="N277">
        <v>1.7506523979999999</v>
      </c>
      <c r="O277">
        <v>0.95258522800000001</v>
      </c>
      <c r="P277" t="b">
        <v>0</v>
      </c>
      <c r="Q277">
        <v>1.0220768999999999E-2</v>
      </c>
      <c r="R277" s="2">
        <v>1</v>
      </c>
      <c r="S277" s="2" t="str">
        <f t="shared" si="17"/>
        <v>Oct</v>
      </c>
      <c r="T277">
        <f t="shared" si="18"/>
        <v>2025</v>
      </c>
      <c r="U277" s="2" t="str">
        <f t="shared" si="19"/>
        <v>Q4</v>
      </c>
      <c r="V277" t="str">
        <f t="shared" si="20"/>
        <v>Completed</v>
      </c>
    </row>
    <row r="278" spans="1:22" x14ac:dyDescent="0.3">
      <c r="A278" s="2">
        <v>277</v>
      </c>
      <c r="B278" s="1">
        <v>45934</v>
      </c>
      <c r="C278" s="2" t="s">
        <v>17</v>
      </c>
      <c r="D278">
        <v>238</v>
      </c>
      <c r="E278">
        <v>2445</v>
      </c>
      <c r="F278">
        <v>2385</v>
      </c>
      <c r="G278">
        <v>4227</v>
      </c>
      <c r="H278">
        <v>1295</v>
      </c>
      <c r="I278">
        <v>0.234215176</v>
      </c>
      <c r="J278">
        <v>0.86116920200000002</v>
      </c>
      <c r="K278">
        <v>1657</v>
      </c>
      <c r="L278">
        <v>106</v>
      </c>
      <c r="M278" s="2">
        <v>7</v>
      </c>
      <c r="N278">
        <v>1.0660229210000001</v>
      </c>
      <c r="O278">
        <v>0.82127397199999996</v>
      </c>
      <c r="P278" t="b">
        <v>0</v>
      </c>
      <c r="Q278">
        <v>2.6982829E-2</v>
      </c>
      <c r="R278" s="2">
        <v>1</v>
      </c>
      <c r="S278" s="2" t="str">
        <f t="shared" si="17"/>
        <v>Oct</v>
      </c>
      <c r="T278">
        <f t="shared" si="18"/>
        <v>2025</v>
      </c>
      <c r="U278" s="2" t="str">
        <f t="shared" si="19"/>
        <v>Q4</v>
      </c>
      <c r="V278" t="str">
        <f t="shared" si="20"/>
        <v>Completed</v>
      </c>
    </row>
    <row r="279" spans="1:22" x14ac:dyDescent="0.3">
      <c r="A279" s="2">
        <v>278</v>
      </c>
      <c r="B279" s="1">
        <v>45935</v>
      </c>
      <c r="C279" s="2" t="s">
        <v>16</v>
      </c>
      <c r="D279">
        <v>1180</v>
      </c>
      <c r="E279">
        <v>4082</v>
      </c>
      <c r="F279">
        <v>651</v>
      </c>
      <c r="G279">
        <v>1697</v>
      </c>
      <c r="H279">
        <v>2329</v>
      </c>
      <c r="I279">
        <v>0.50213143000000005</v>
      </c>
      <c r="J279">
        <v>1.715531855</v>
      </c>
      <c r="K279">
        <v>2926</v>
      </c>
      <c r="L279">
        <v>1290</v>
      </c>
      <c r="M279" s="2">
        <v>4</v>
      </c>
      <c r="N279">
        <v>1.7570852079999999</v>
      </c>
      <c r="O279">
        <v>0.83905074300000004</v>
      </c>
      <c r="P279" t="b">
        <v>0</v>
      </c>
      <c r="Q279">
        <v>0.21954211000000001</v>
      </c>
      <c r="R279" s="2">
        <v>1</v>
      </c>
      <c r="S279" s="2" t="str">
        <f t="shared" si="17"/>
        <v>Oct</v>
      </c>
      <c r="T279">
        <f t="shared" si="18"/>
        <v>2025</v>
      </c>
      <c r="U279" s="2" t="str">
        <f t="shared" si="19"/>
        <v>Q4</v>
      </c>
      <c r="V279" t="str">
        <f t="shared" si="20"/>
        <v>Completed</v>
      </c>
    </row>
    <row r="280" spans="1:22" x14ac:dyDescent="0.3">
      <c r="A280" s="2">
        <v>279</v>
      </c>
      <c r="B280" s="1">
        <v>45936</v>
      </c>
      <c r="C280" s="2" t="s">
        <v>17</v>
      </c>
      <c r="D280">
        <v>4330</v>
      </c>
      <c r="E280">
        <v>2180</v>
      </c>
      <c r="F280">
        <v>977</v>
      </c>
      <c r="G280">
        <v>1285</v>
      </c>
      <c r="H280">
        <v>2783</v>
      </c>
      <c r="I280">
        <v>0.55233379299999996</v>
      </c>
      <c r="J280">
        <v>1.8762756629999999</v>
      </c>
      <c r="K280">
        <v>636</v>
      </c>
      <c r="L280">
        <v>3432</v>
      </c>
      <c r="M280" s="2">
        <v>1</v>
      </c>
      <c r="N280">
        <v>0.98530791299999998</v>
      </c>
      <c r="O280">
        <v>0.99205465800000003</v>
      </c>
      <c r="P280" t="b">
        <v>0</v>
      </c>
      <c r="Q280">
        <v>0.86345053100000002</v>
      </c>
      <c r="R280" s="2">
        <v>1</v>
      </c>
      <c r="S280" s="2" t="str">
        <f t="shared" si="17"/>
        <v>Oct</v>
      </c>
      <c r="T280">
        <f t="shared" si="18"/>
        <v>2025</v>
      </c>
      <c r="U280" s="2" t="str">
        <f t="shared" si="19"/>
        <v>Q4</v>
      </c>
      <c r="V280" t="str">
        <f t="shared" si="20"/>
        <v>Completed</v>
      </c>
    </row>
    <row r="281" spans="1:22" x14ac:dyDescent="0.3">
      <c r="A281" s="2">
        <v>280</v>
      </c>
      <c r="B281" s="1">
        <v>45937</v>
      </c>
      <c r="C281" s="2" t="s">
        <v>16</v>
      </c>
      <c r="D281">
        <v>4110</v>
      </c>
      <c r="E281">
        <v>1054</v>
      </c>
      <c r="F281">
        <v>1999</v>
      </c>
      <c r="G281">
        <v>3432</v>
      </c>
      <c r="H281">
        <v>2695</v>
      </c>
      <c r="I281">
        <v>0.30996814499999997</v>
      </c>
      <c r="J281">
        <v>2.522525323</v>
      </c>
      <c r="K281">
        <v>3835</v>
      </c>
      <c r="L281">
        <v>2682</v>
      </c>
      <c r="M281" s="2">
        <v>4</v>
      </c>
      <c r="N281">
        <v>1.155648051</v>
      </c>
      <c r="O281">
        <v>0.817001109</v>
      </c>
      <c r="P281" t="b">
        <v>0</v>
      </c>
      <c r="Q281">
        <v>0.81847915000000004</v>
      </c>
      <c r="R281" s="2">
        <v>1</v>
      </c>
      <c r="S281" s="2" t="str">
        <f t="shared" si="17"/>
        <v>Oct</v>
      </c>
      <c r="T281">
        <f t="shared" si="18"/>
        <v>2025</v>
      </c>
      <c r="U281" s="2" t="str">
        <f t="shared" si="19"/>
        <v>Q4</v>
      </c>
      <c r="V281" t="str">
        <f t="shared" si="20"/>
        <v>Completed</v>
      </c>
    </row>
    <row r="282" spans="1:22" x14ac:dyDescent="0.3">
      <c r="A282" s="2">
        <v>281</v>
      </c>
      <c r="B282" s="1">
        <v>45938</v>
      </c>
      <c r="C282" s="2" t="s">
        <v>17</v>
      </c>
      <c r="D282">
        <v>748</v>
      </c>
      <c r="E282">
        <v>1454</v>
      </c>
      <c r="F282">
        <v>936</v>
      </c>
      <c r="G282">
        <v>4763</v>
      </c>
      <c r="H282">
        <v>761</v>
      </c>
      <c r="I282">
        <v>0.20461433900000001</v>
      </c>
      <c r="J282">
        <v>1.2811566080000001</v>
      </c>
      <c r="K282">
        <v>2403</v>
      </c>
      <c r="L282">
        <v>3900</v>
      </c>
      <c r="M282" s="2">
        <v>1</v>
      </c>
      <c r="N282">
        <v>1.0932793160000001</v>
      </c>
      <c r="O282">
        <v>0.99315678299999999</v>
      </c>
      <c r="P282" t="b">
        <v>0</v>
      </c>
      <c r="Q282">
        <v>0.131234669</v>
      </c>
      <c r="R282" s="2">
        <v>1</v>
      </c>
      <c r="S282" s="2" t="str">
        <f t="shared" si="17"/>
        <v>Oct</v>
      </c>
      <c r="T282">
        <f t="shared" si="18"/>
        <v>2025</v>
      </c>
      <c r="U282" s="2" t="str">
        <f t="shared" si="19"/>
        <v>Q4</v>
      </c>
      <c r="V282" t="str">
        <f t="shared" si="20"/>
        <v>Completed</v>
      </c>
    </row>
    <row r="283" spans="1:22" x14ac:dyDescent="0.3">
      <c r="A283" s="2">
        <v>282</v>
      </c>
      <c r="B283" s="1">
        <v>45939</v>
      </c>
      <c r="C283" s="2" t="s">
        <v>18</v>
      </c>
      <c r="D283">
        <v>4014</v>
      </c>
      <c r="E283">
        <v>4217</v>
      </c>
      <c r="F283">
        <v>895</v>
      </c>
      <c r="G283">
        <v>4161</v>
      </c>
      <c r="H283">
        <v>894</v>
      </c>
      <c r="I283">
        <v>0.73678797100000004</v>
      </c>
      <c r="J283">
        <v>1.161025937</v>
      </c>
      <c r="K283">
        <v>1496</v>
      </c>
      <c r="L283">
        <v>1860</v>
      </c>
      <c r="M283" s="2">
        <v>3</v>
      </c>
      <c r="N283">
        <v>1.9773588769999999</v>
      </c>
      <c r="O283">
        <v>0.83262795999999994</v>
      </c>
      <c r="P283" t="b">
        <v>0</v>
      </c>
      <c r="Q283">
        <v>0.798855274</v>
      </c>
      <c r="R283" s="2">
        <v>1</v>
      </c>
      <c r="S283" s="2" t="str">
        <f t="shared" si="17"/>
        <v>Oct</v>
      </c>
      <c r="T283">
        <f t="shared" si="18"/>
        <v>2025</v>
      </c>
      <c r="U283" s="2" t="str">
        <f t="shared" si="19"/>
        <v>Q4</v>
      </c>
      <c r="V283" t="str">
        <f t="shared" si="20"/>
        <v>Completed</v>
      </c>
    </row>
    <row r="284" spans="1:22" x14ac:dyDescent="0.3">
      <c r="A284" s="2">
        <v>283</v>
      </c>
      <c r="B284" s="1">
        <v>45940</v>
      </c>
      <c r="C284" s="2" t="s">
        <v>16</v>
      </c>
      <c r="D284">
        <v>1630</v>
      </c>
      <c r="E284">
        <v>3960</v>
      </c>
      <c r="F284">
        <v>946</v>
      </c>
      <c r="G284">
        <v>1123</v>
      </c>
      <c r="H284">
        <v>2106</v>
      </c>
      <c r="I284">
        <v>0.78250183799999995</v>
      </c>
      <c r="J284">
        <v>2.9577651789999999</v>
      </c>
      <c r="K284">
        <v>428</v>
      </c>
      <c r="L284">
        <v>1718</v>
      </c>
      <c r="M284" s="2">
        <v>4</v>
      </c>
      <c r="N284">
        <v>1.1486837990000001</v>
      </c>
      <c r="O284">
        <v>0.99587092099999996</v>
      </c>
      <c r="P284" t="b">
        <v>0</v>
      </c>
      <c r="Q284">
        <v>0.31152902700000001</v>
      </c>
      <c r="R284" s="2">
        <v>1</v>
      </c>
      <c r="S284" s="2" t="str">
        <f t="shared" si="17"/>
        <v>Oct</v>
      </c>
      <c r="T284">
        <f t="shared" si="18"/>
        <v>2025</v>
      </c>
      <c r="U284" s="2" t="str">
        <f t="shared" si="19"/>
        <v>Q4</v>
      </c>
      <c r="V284" t="str">
        <f t="shared" si="20"/>
        <v>Completed</v>
      </c>
    </row>
    <row r="285" spans="1:22" x14ac:dyDescent="0.3">
      <c r="A285" s="2">
        <v>284</v>
      </c>
      <c r="B285" s="1">
        <v>45941</v>
      </c>
      <c r="C285" s="2" t="s">
        <v>17</v>
      </c>
      <c r="D285">
        <v>4013</v>
      </c>
      <c r="E285">
        <v>1040</v>
      </c>
      <c r="F285">
        <v>3762</v>
      </c>
      <c r="G285">
        <v>4641</v>
      </c>
      <c r="H285">
        <v>3879</v>
      </c>
      <c r="I285">
        <v>0.26064986299999998</v>
      </c>
      <c r="J285">
        <v>1.4536645909999999</v>
      </c>
      <c r="K285">
        <v>3729</v>
      </c>
      <c r="L285">
        <v>2560</v>
      </c>
      <c r="M285" s="2">
        <v>2</v>
      </c>
      <c r="N285">
        <v>1.744580281</v>
      </c>
      <c r="O285">
        <v>0.85407973199999998</v>
      </c>
      <c r="P285" t="b">
        <v>0</v>
      </c>
      <c r="Q285">
        <v>0.79865085899999999</v>
      </c>
      <c r="R285" s="2">
        <v>1</v>
      </c>
      <c r="S285" s="2" t="str">
        <f t="shared" si="17"/>
        <v>Oct</v>
      </c>
      <c r="T285">
        <f t="shared" si="18"/>
        <v>2025</v>
      </c>
      <c r="U285" s="2" t="str">
        <f t="shared" si="19"/>
        <v>Q4</v>
      </c>
      <c r="V285" t="str">
        <f t="shared" si="20"/>
        <v>Completed</v>
      </c>
    </row>
    <row r="286" spans="1:22" x14ac:dyDescent="0.3">
      <c r="A286" s="2">
        <v>285</v>
      </c>
      <c r="B286" s="1">
        <v>45942</v>
      </c>
      <c r="C286" s="2" t="s">
        <v>17</v>
      </c>
      <c r="D286">
        <v>1742</v>
      </c>
      <c r="E286">
        <v>1603</v>
      </c>
      <c r="F286">
        <v>2993</v>
      </c>
      <c r="G286">
        <v>4700</v>
      </c>
      <c r="H286">
        <v>3937</v>
      </c>
      <c r="I286">
        <v>0.49879124600000002</v>
      </c>
      <c r="J286">
        <v>0.74559192100000005</v>
      </c>
      <c r="K286">
        <v>3668</v>
      </c>
      <c r="L286">
        <v>3394</v>
      </c>
      <c r="M286" s="2">
        <v>5</v>
      </c>
      <c r="N286">
        <v>1.576826558</v>
      </c>
      <c r="O286">
        <v>0.94062996399999999</v>
      </c>
      <c r="P286" t="b">
        <v>0</v>
      </c>
      <c r="Q286">
        <v>0.33442354899999999</v>
      </c>
      <c r="R286" s="2">
        <v>1</v>
      </c>
      <c r="S286" s="2" t="str">
        <f t="shared" si="17"/>
        <v>Oct</v>
      </c>
      <c r="T286">
        <f t="shared" si="18"/>
        <v>2025</v>
      </c>
      <c r="U286" s="2" t="str">
        <f t="shared" si="19"/>
        <v>Q4</v>
      </c>
      <c r="V286" t="str">
        <f t="shared" si="20"/>
        <v>Completed</v>
      </c>
    </row>
    <row r="287" spans="1:22" x14ac:dyDescent="0.3">
      <c r="A287" s="2">
        <v>286</v>
      </c>
      <c r="B287" s="1">
        <v>45943</v>
      </c>
      <c r="C287" s="2" t="s">
        <v>16</v>
      </c>
      <c r="D287">
        <v>738</v>
      </c>
      <c r="E287">
        <v>3311</v>
      </c>
      <c r="F287">
        <v>2516</v>
      </c>
      <c r="G287">
        <v>3458</v>
      </c>
      <c r="H287">
        <v>543</v>
      </c>
      <c r="I287">
        <v>0.68044307900000001</v>
      </c>
      <c r="J287">
        <v>2.5208855450000001</v>
      </c>
      <c r="K287">
        <v>1482</v>
      </c>
      <c r="L287">
        <v>3017</v>
      </c>
      <c r="M287" s="2">
        <v>5</v>
      </c>
      <c r="N287">
        <v>0.503953384</v>
      </c>
      <c r="O287">
        <v>0.80557058100000001</v>
      </c>
      <c r="P287" t="b">
        <v>0</v>
      </c>
      <c r="Q287">
        <v>0.12919051500000001</v>
      </c>
      <c r="R287" s="2">
        <v>1</v>
      </c>
      <c r="S287" s="2" t="str">
        <f t="shared" si="17"/>
        <v>Oct</v>
      </c>
      <c r="T287">
        <f t="shared" si="18"/>
        <v>2025</v>
      </c>
      <c r="U287" s="2" t="str">
        <f t="shared" si="19"/>
        <v>Q4</v>
      </c>
      <c r="V287" t="str">
        <f t="shared" si="20"/>
        <v>Completed</v>
      </c>
    </row>
    <row r="288" spans="1:22" x14ac:dyDescent="0.3">
      <c r="A288" s="2">
        <v>287</v>
      </c>
      <c r="B288" s="1">
        <v>45944</v>
      </c>
      <c r="C288" s="2" t="s">
        <v>17</v>
      </c>
      <c r="D288">
        <v>1936</v>
      </c>
      <c r="E288">
        <v>1529</v>
      </c>
      <c r="F288">
        <v>2017</v>
      </c>
      <c r="G288">
        <v>2607</v>
      </c>
      <c r="H288">
        <v>2828</v>
      </c>
      <c r="I288">
        <v>0.43234207800000002</v>
      </c>
      <c r="J288">
        <v>2.545875095</v>
      </c>
      <c r="K288">
        <v>3385</v>
      </c>
      <c r="L288">
        <v>2573</v>
      </c>
      <c r="M288" s="2">
        <v>7</v>
      </c>
      <c r="N288">
        <v>1.57468567</v>
      </c>
      <c r="O288">
        <v>0.97932606600000005</v>
      </c>
      <c r="P288" t="b">
        <v>0</v>
      </c>
      <c r="Q288">
        <v>0.37408013099999998</v>
      </c>
      <c r="R288" s="2">
        <v>0</v>
      </c>
      <c r="S288" s="2" t="str">
        <f t="shared" si="17"/>
        <v>Oct</v>
      </c>
      <c r="T288">
        <f t="shared" si="18"/>
        <v>2025</v>
      </c>
      <c r="U288" s="2" t="str">
        <f t="shared" si="19"/>
        <v>Q4</v>
      </c>
      <c r="V288" t="str">
        <f t="shared" si="20"/>
        <v>Completed</v>
      </c>
    </row>
    <row r="289" spans="1:22" x14ac:dyDescent="0.3">
      <c r="A289" s="2">
        <v>288</v>
      </c>
      <c r="B289" s="1">
        <v>45945</v>
      </c>
      <c r="C289" s="2" t="s">
        <v>16</v>
      </c>
      <c r="D289">
        <v>1791</v>
      </c>
      <c r="E289">
        <v>4363</v>
      </c>
      <c r="F289">
        <v>332</v>
      </c>
      <c r="G289">
        <v>1196</v>
      </c>
      <c r="H289">
        <v>2085</v>
      </c>
      <c r="I289">
        <v>0.59816005699999997</v>
      </c>
      <c r="J289">
        <v>2.3527358079999998</v>
      </c>
      <c r="K289">
        <v>688</v>
      </c>
      <c r="L289">
        <v>3326</v>
      </c>
      <c r="M289" s="2">
        <v>7</v>
      </c>
      <c r="N289">
        <v>1.2504058689999999</v>
      </c>
      <c r="O289">
        <v>0.95606983999999995</v>
      </c>
      <c r="P289" t="b">
        <v>0</v>
      </c>
      <c r="Q289">
        <v>0.34443990200000002</v>
      </c>
      <c r="R289" s="2">
        <v>1</v>
      </c>
      <c r="S289" s="2" t="str">
        <f t="shared" si="17"/>
        <v>Oct</v>
      </c>
      <c r="T289">
        <f t="shared" si="18"/>
        <v>2025</v>
      </c>
      <c r="U289" s="2" t="str">
        <f t="shared" si="19"/>
        <v>Q4</v>
      </c>
      <c r="V289" t="str">
        <f t="shared" si="20"/>
        <v>Failed</v>
      </c>
    </row>
    <row r="290" spans="1:22" x14ac:dyDescent="0.3">
      <c r="A290" s="2">
        <v>289</v>
      </c>
      <c r="B290" s="1">
        <v>45946</v>
      </c>
      <c r="C290" s="2" t="s">
        <v>18</v>
      </c>
      <c r="D290">
        <v>3641</v>
      </c>
      <c r="E290">
        <v>3367</v>
      </c>
      <c r="F290">
        <v>666</v>
      </c>
      <c r="G290">
        <v>3166</v>
      </c>
      <c r="H290">
        <v>214</v>
      </c>
      <c r="I290">
        <v>0.38771602300000002</v>
      </c>
      <c r="J290">
        <v>1.106647967</v>
      </c>
      <c r="K290">
        <v>680</v>
      </c>
      <c r="L290">
        <v>1730</v>
      </c>
      <c r="M290" s="2">
        <v>2</v>
      </c>
      <c r="N290">
        <v>1.179968283</v>
      </c>
      <c r="O290">
        <v>0.81611913300000005</v>
      </c>
      <c r="P290" t="b">
        <v>0</v>
      </c>
      <c r="Q290">
        <v>0.72260833999999996</v>
      </c>
      <c r="R290" s="2">
        <v>1</v>
      </c>
      <c r="S290" s="2" t="str">
        <f t="shared" si="17"/>
        <v>Oct</v>
      </c>
      <c r="T290">
        <f t="shared" si="18"/>
        <v>2025</v>
      </c>
      <c r="U290" s="2" t="str">
        <f t="shared" si="19"/>
        <v>Q4</v>
      </c>
      <c r="V290" t="str">
        <f t="shared" si="20"/>
        <v>Completed</v>
      </c>
    </row>
    <row r="291" spans="1:22" x14ac:dyDescent="0.3">
      <c r="A291" s="2">
        <v>290</v>
      </c>
      <c r="B291" s="1">
        <v>45947</v>
      </c>
      <c r="C291" s="2" t="s">
        <v>16</v>
      </c>
      <c r="D291">
        <v>1906</v>
      </c>
      <c r="E291">
        <v>1457</v>
      </c>
      <c r="F291">
        <v>2243</v>
      </c>
      <c r="G291">
        <v>645</v>
      </c>
      <c r="H291">
        <v>712</v>
      </c>
      <c r="I291">
        <v>0.39127048800000003</v>
      </c>
      <c r="J291">
        <v>2.0309896539999999</v>
      </c>
      <c r="K291">
        <v>4247</v>
      </c>
      <c r="L291">
        <v>680</v>
      </c>
      <c r="M291" s="2">
        <v>1</v>
      </c>
      <c r="N291">
        <v>1.7228194370000001</v>
      </c>
      <c r="O291">
        <v>0.96806724</v>
      </c>
      <c r="P291" t="b">
        <v>0</v>
      </c>
      <c r="Q291">
        <v>0.36794767</v>
      </c>
      <c r="R291" s="2">
        <v>1</v>
      </c>
      <c r="S291" s="2" t="str">
        <f t="shared" si="17"/>
        <v>Oct</v>
      </c>
      <c r="T291">
        <f t="shared" si="18"/>
        <v>2025</v>
      </c>
      <c r="U291" s="2" t="str">
        <f t="shared" si="19"/>
        <v>Q4</v>
      </c>
      <c r="V291" t="str">
        <f t="shared" si="20"/>
        <v>Completed</v>
      </c>
    </row>
    <row r="292" spans="1:22" x14ac:dyDescent="0.3">
      <c r="A292" s="2">
        <v>291</v>
      </c>
      <c r="B292" s="1">
        <v>45948</v>
      </c>
      <c r="C292" s="2" t="s">
        <v>17</v>
      </c>
      <c r="D292">
        <v>4574</v>
      </c>
      <c r="E292">
        <v>1969</v>
      </c>
      <c r="F292">
        <v>2539</v>
      </c>
      <c r="G292">
        <v>4875</v>
      </c>
      <c r="H292">
        <v>1627</v>
      </c>
      <c r="I292">
        <v>0.21337498699999999</v>
      </c>
      <c r="J292">
        <v>0.95874697499999995</v>
      </c>
      <c r="K292">
        <v>4987</v>
      </c>
      <c r="L292">
        <v>1485</v>
      </c>
      <c r="M292" s="2">
        <v>3</v>
      </c>
      <c r="N292">
        <v>1.2602371880000001</v>
      </c>
      <c r="O292">
        <v>0.88242510299999999</v>
      </c>
      <c r="P292" t="b">
        <v>0</v>
      </c>
      <c r="Q292">
        <v>0.91332788200000004</v>
      </c>
      <c r="R292" s="2">
        <v>1</v>
      </c>
      <c r="S292" s="2" t="str">
        <f t="shared" si="17"/>
        <v>Oct</v>
      </c>
      <c r="T292">
        <f t="shared" si="18"/>
        <v>2025</v>
      </c>
      <c r="U292" s="2" t="str">
        <f t="shared" si="19"/>
        <v>Q4</v>
      </c>
      <c r="V292" t="str">
        <f t="shared" si="20"/>
        <v>Completed</v>
      </c>
    </row>
    <row r="293" spans="1:22" x14ac:dyDescent="0.3">
      <c r="A293" s="2">
        <v>292</v>
      </c>
      <c r="B293" s="1">
        <v>45949</v>
      </c>
      <c r="C293" s="2" t="s">
        <v>18</v>
      </c>
      <c r="D293">
        <v>3727</v>
      </c>
      <c r="E293">
        <v>568</v>
      </c>
      <c r="F293">
        <v>3449</v>
      </c>
      <c r="G293">
        <v>2479</v>
      </c>
      <c r="H293">
        <v>1141</v>
      </c>
      <c r="I293">
        <v>0.39425786800000001</v>
      </c>
      <c r="J293">
        <v>2.3756092190000002</v>
      </c>
      <c r="K293">
        <v>4156</v>
      </c>
      <c r="L293">
        <v>3751</v>
      </c>
      <c r="M293" s="2">
        <v>5</v>
      </c>
      <c r="N293">
        <v>1.8741502189999999</v>
      </c>
      <c r="O293">
        <v>0.95501812600000002</v>
      </c>
      <c r="P293" t="b">
        <v>0</v>
      </c>
      <c r="Q293">
        <v>0.74018806199999998</v>
      </c>
      <c r="R293" s="2">
        <v>1</v>
      </c>
      <c r="S293" s="2" t="str">
        <f t="shared" si="17"/>
        <v>Oct</v>
      </c>
      <c r="T293">
        <f t="shared" si="18"/>
        <v>2025</v>
      </c>
      <c r="U293" s="2" t="str">
        <f t="shared" si="19"/>
        <v>Q4</v>
      </c>
      <c r="V293" t="str">
        <f t="shared" si="20"/>
        <v>Completed</v>
      </c>
    </row>
    <row r="294" spans="1:22" x14ac:dyDescent="0.3">
      <c r="A294" s="2">
        <v>293</v>
      </c>
      <c r="B294" s="1">
        <v>45950</v>
      </c>
      <c r="C294" s="2" t="s">
        <v>5</v>
      </c>
      <c r="D294">
        <v>3444</v>
      </c>
      <c r="E294">
        <v>1623</v>
      </c>
      <c r="F294">
        <v>1628</v>
      </c>
      <c r="G294">
        <v>1370</v>
      </c>
      <c r="H294">
        <v>1975</v>
      </c>
      <c r="I294">
        <v>0.66489685899999995</v>
      </c>
      <c r="J294">
        <v>2.388912071</v>
      </c>
      <c r="K294">
        <v>2913</v>
      </c>
      <c r="L294">
        <v>3651</v>
      </c>
      <c r="M294" s="2">
        <v>9</v>
      </c>
      <c r="N294">
        <v>0.70208406700000003</v>
      </c>
      <c r="O294">
        <v>0.94862231600000002</v>
      </c>
      <c r="P294" t="b">
        <v>0</v>
      </c>
      <c r="Q294">
        <v>0.68233851199999995</v>
      </c>
      <c r="R294" s="2">
        <v>1</v>
      </c>
      <c r="S294" s="2" t="str">
        <f t="shared" si="17"/>
        <v>Oct</v>
      </c>
      <c r="T294">
        <f t="shared" si="18"/>
        <v>2025</v>
      </c>
      <c r="U294" s="2" t="str">
        <f t="shared" si="19"/>
        <v>Q4</v>
      </c>
      <c r="V294" t="str">
        <f t="shared" si="20"/>
        <v>Completed</v>
      </c>
    </row>
    <row r="295" spans="1:22" x14ac:dyDescent="0.3">
      <c r="A295" s="2">
        <v>294</v>
      </c>
      <c r="B295" s="1">
        <v>45951</v>
      </c>
      <c r="C295" s="2" t="s">
        <v>5</v>
      </c>
      <c r="D295">
        <v>3915</v>
      </c>
      <c r="E295">
        <v>2533</v>
      </c>
      <c r="F295">
        <v>1828</v>
      </c>
      <c r="G295">
        <v>910</v>
      </c>
      <c r="H295">
        <v>2919</v>
      </c>
      <c r="I295">
        <v>0.58915277700000002</v>
      </c>
      <c r="J295">
        <v>2.620584772</v>
      </c>
      <c r="K295">
        <v>3170</v>
      </c>
      <c r="L295">
        <v>3629</v>
      </c>
      <c r="M295" s="2">
        <v>4</v>
      </c>
      <c r="N295">
        <v>1.237539715</v>
      </c>
      <c r="O295">
        <v>0.94629898499999998</v>
      </c>
      <c r="P295" t="b">
        <v>0</v>
      </c>
      <c r="Q295">
        <v>0.77861815199999995</v>
      </c>
      <c r="R295" s="2">
        <v>1</v>
      </c>
      <c r="S295" s="2" t="str">
        <f t="shared" si="17"/>
        <v>Oct</v>
      </c>
      <c r="T295">
        <f t="shared" si="18"/>
        <v>2025</v>
      </c>
      <c r="U295" s="2" t="str">
        <f t="shared" si="19"/>
        <v>Q4</v>
      </c>
      <c r="V295" t="str">
        <f t="shared" si="20"/>
        <v>Completed</v>
      </c>
    </row>
    <row r="296" spans="1:22" x14ac:dyDescent="0.3">
      <c r="A296" s="2">
        <v>295</v>
      </c>
      <c r="B296" s="1">
        <v>45952</v>
      </c>
      <c r="C296" s="2" t="s">
        <v>18</v>
      </c>
      <c r="D296">
        <v>574</v>
      </c>
      <c r="E296">
        <v>621</v>
      </c>
      <c r="F296">
        <v>1150</v>
      </c>
      <c r="G296">
        <v>2783</v>
      </c>
      <c r="H296">
        <v>724</v>
      </c>
      <c r="I296">
        <v>0.77413770199999998</v>
      </c>
      <c r="J296">
        <v>1.561760976</v>
      </c>
      <c r="K296">
        <v>2723</v>
      </c>
      <c r="L296">
        <v>2076</v>
      </c>
      <c r="M296" s="2">
        <v>7</v>
      </c>
      <c r="N296">
        <v>1.419184843</v>
      </c>
      <c r="O296">
        <v>0.93138309799999996</v>
      </c>
      <c r="P296" t="b">
        <v>0</v>
      </c>
      <c r="Q296">
        <v>9.5666394000000002E-2</v>
      </c>
      <c r="R296" s="2">
        <v>1</v>
      </c>
      <c r="S296" s="2" t="str">
        <f t="shared" si="17"/>
        <v>Oct</v>
      </c>
      <c r="T296">
        <f t="shared" si="18"/>
        <v>2025</v>
      </c>
      <c r="U296" s="2" t="str">
        <f t="shared" si="19"/>
        <v>Q4</v>
      </c>
      <c r="V296" t="str">
        <f t="shared" si="20"/>
        <v>Completed</v>
      </c>
    </row>
    <row r="297" spans="1:22" x14ac:dyDescent="0.3">
      <c r="A297" s="2">
        <v>296</v>
      </c>
      <c r="B297" s="1">
        <v>45953</v>
      </c>
      <c r="C297" s="2" t="s">
        <v>17</v>
      </c>
      <c r="D297">
        <v>3224</v>
      </c>
      <c r="E297">
        <v>3104</v>
      </c>
      <c r="F297">
        <v>3680</v>
      </c>
      <c r="G297">
        <v>3230</v>
      </c>
      <c r="H297">
        <v>1982</v>
      </c>
      <c r="I297">
        <v>0.78278022999999997</v>
      </c>
      <c r="J297">
        <v>2.8129377679999998</v>
      </c>
      <c r="K297">
        <v>518</v>
      </c>
      <c r="L297">
        <v>3025</v>
      </c>
      <c r="M297" s="2">
        <v>6</v>
      </c>
      <c r="N297">
        <v>0.54803333200000004</v>
      </c>
      <c r="O297">
        <v>0.85342967400000003</v>
      </c>
      <c r="P297" t="b">
        <v>0</v>
      </c>
      <c r="Q297">
        <v>0.63736713</v>
      </c>
      <c r="R297" s="2">
        <v>1</v>
      </c>
      <c r="S297" s="2" t="str">
        <f t="shared" si="17"/>
        <v>Oct</v>
      </c>
      <c r="T297">
        <f t="shared" si="18"/>
        <v>2025</v>
      </c>
      <c r="U297" s="2" t="str">
        <f t="shared" si="19"/>
        <v>Q4</v>
      </c>
      <c r="V297" t="str">
        <f t="shared" si="20"/>
        <v>Completed</v>
      </c>
    </row>
    <row r="298" spans="1:22" x14ac:dyDescent="0.3">
      <c r="A298" s="2">
        <v>297</v>
      </c>
      <c r="B298" s="1">
        <v>45954</v>
      </c>
      <c r="C298" s="2" t="s">
        <v>16</v>
      </c>
      <c r="D298">
        <v>2679</v>
      </c>
      <c r="E298">
        <v>2028</v>
      </c>
      <c r="F298">
        <v>3080</v>
      </c>
      <c r="G298">
        <v>2877</v>
      </c>
      <c r="H298">
        <v>2877</v>
      </c>
      <c r="I298">
        <v>0.74862212699999997</v>
      </c>
      <c r="J298">
        <v>2.488022178</v>
      </c>
      <c r="K298">
        <v>2169</v>
      </c>
      <c r="L298">
        <v>145</v>
      </c>
      <c r="M298" s="2">
        <v>8</v>
      </c>
      <c r="N298">
        <v>1.060179137</v>
      </c>
      <c r="O298">
        <v>0.80594618399999995</v>
      </c>
      <c r="P298" t="b">
        <v>0</v>
      </c>
      <c r="Q298">
        <v>0.52596075200000003</v>
      </c>
      <c r="R298" s="2">
        <v>1</v>
      </c>
      <c r="S298" s="2" t="str">
        <f t="shared" si="17"/>
        <v>Oct</v>
      </c>
      <c r="T298">
        <f t="shared" si="18"/>
        <v>2025</v>
      </c>
      <c r="U298" s="2" t="str">
        <f t="shared" si="19"/>
        <v>Q4</v>
      </c>
      <c r="V298" t="str">
        <f t="shared" si="20"/>
        <v>Completed</v>
      </c>
    </row>
    <row r="299" spans="1:22" x14ac:dyDescent="0.3">
      <c r="A299" s="2">
        <v>298</v>
      </c>
      <c r="B299" s="1">
        <v>45955</v>
      </c>
      <c r="C299" s="2" t="s">
        <v>16</v>
      </c>
      <c r="D299">
        <v>779</v>
      </c>
      <c r="E299">
        <v>1337</v>
      </c>
      <c r="F299">
        <v>1865</v>
      </c>
      <c r="G299">
        <v>3993</v>
      </c>
      <c r="H299">
        <v>3079</v>
      </c>
      <c r="I299">
        <v>0.65356519599999996</v>
      </c>
      <c r="J299">
        <v>1.1148989680000001</v>
      </c>
      <c r="K299">
        <v>2217</v>
      </c>
      <c r="L299">
        <v>261</v>
      </c>
      <c r="M299" s="2">
        <v>4</v>
      </c>
      <c r="N299">
        <v>0.57408501300000003</v>
      </c>
      <c r="O299">
        <v>0.98155541400000001</v>
      </c>
      <c r="P299" t="b">
        <v>0</v>
      </c>
      <c r="Q299">
        <v>0.13757154499999999</v>
      </c>
      <c r="R299" s="2">
        <v>1</v>
      </c>
      <c r="S299" s="2" t="str">
        <f t="shared" si="17"/>
        <v>Oct</v>
      </c>
      <c r="T299">
        <f t="shared" si="18"/>
        <v>2025</v>
      </c>
      <c r="U299" s="2" t="str">
        <f t="shared" si="19"/>
        <v>Q4</v>
      </c>
      <c r="V299" t="str">
        <f t="shared" si="20"/>
        <v>Completed</v>
      </c>
    </row>
    <row r="300" spans="1:22" x14ac:dyDescent="0.3">
      <c r="A300" s="2">
        <v>299</v>
      </c>
      <c r="B300" s="1">
        <v>45956</v>
      </c>
      <c r="C300" s="2" t="s">
        <v>18</v>
      </c>
      <c r="D300">
        <v>1408</v>
      </c>
      <c r="E300">
        <v>2833</v>
      </c>
      <c r="F300">
        <v>2561</v>
      </c>
      <c r="G300">
        <v>1467</v>
      </c>
      <c r="H300">
        <v>3539</v>
      </c>
      <c r="I300">
        <v>0.24142448899999999</v>
      </c>
      <c r="J300">
        <v>2.8734754109999998</v>
      </c>
      <c r="K300">
        <v>2095</v>
      </c>
      <c r="L300">
        <v>1383</v>
      </c>
      <c r="M300" s="2">
        <v>1</v>
      </c>
      <c r="N300">
        <v>0.55762492299999999</v>
      </c>
      <c r="O300">
        <v>0.89919545899999997</v>
      </c>
      <c r="P300" t="b">
        <v>0</v>
      </c>
      <c r="Q300">
        <v>0.26614881400000001</v>
      </c>
      <c r="R300" s="2">
        <v>1</v>
      </c>
      <c r="S300" s="2" t="str">
        <f t="shared" si="17"/>
        <v>Oct</v>
      </c>
      <c r="T300">
        <f t="shared" si="18"/>
        <v>2025</v>
      </c>
      <c r="U300" s="2" t="str">
        <f t="shared" si="19"/>
        <v>Q4</v>
      </c>
      <c r="V300" t="str">
        <f t="shared" si="20"/>
        <v>Completed</v>
      </c>
    </row>
    <row r="301" spans="1:22" x14ac:dyDescent="0.3">
      <c r="A301" s="2">
        <v>300</v>
      </c>
      <c r="B301" s="1">
        <v>45957</v>
      </c>
      <c r="C301" s="2" t="s">
        <v>17</v>
      </c>
      <c r="D301">
        <v>4464</v>
      </c>
      <c r="E301">
        <v>4010</v>
      </c>
      <c r="F301">
        <v>3702</v>
      </c>
      <c r="G301">
        <v>2682</v>
      </c>
      <c r="H301">
        <v>3869</v>
      </c>
      <c r="I301">
        <v>0.59427538499999999</v>
      </c>
      <c r="J301">
        <v>2.0339354300000001</v>
      </c>
      <c r="K301">
        <v>3576</v>
      </c>
      <c r="L301">
        <v>631</v>
      </c>
      <c r="M301" s="2">
        <v>6</v>
      </c>
      <c r="N301">
        <v>1.0099985890000001</v>
      </c>
      <c r="O301">
        <v>0.83682133299999995</v>
      </c>
      <c r="P301" t="b">
        <v>0</v>
      </c>
      <c r="Q301">
        <v>0.89084219099999995</v>
      </c>
      <c r="R301" s="2">
        <v>1</v>
      </c>
      <c r="S301" s="2" t="str">
        <f t="shared" si="17"/>
        <v>Oct</v>
      </c>
      <c r="T301">
        <f t="shared" si="18"/>
        <v>2025</v>
      </c>
      <c r="U301" s="2" t="str">
        <f t="shared" si="19"/>
        <v>Q4</v>
      </c>
      <c r="V301" t="str">
        <f t="shared" si="20"/>
        <v>Completed</v>
      </c>
    </row>
    <row r="302" spans="1:22" x14ac:dyDescent="0.3">
      <c r="A302" s="2">
        <v>301</v>
      </c>
      <c r="B302" s="1">
        <v>45958</v>
      </c>
      <c r="C302" s="2" t="s">
        <v>18</v>
      </c>
      <c r="D302">
        <v>2528</v>
      </c>
      <c r="E302">
        <v>4089</v>
      </c>
      <c r="F302">
        <v>3279</v>
      </c>
      <c r="G302">
        <v>896</v>
      </c>
      <c r="H302">
        <v>2944</v>
      </c>
      <c r="I302">
        <v>0.55268443899999997</v>
      </c>
      <c r="J302">
        <v>1.1448509840000001</v>
      </c>
      <c r="K302">
        <v>1126</v>
      </c>
      <c r="L302">
        <v>2413</v>
      </c>
      <c r="M302" s="2">
        <v>5</v>
      </c>
      <c r="N302">
        <v>1.0569209559999999</v>
      </c>
      <c r="O302">
        <v>0.88533013100000002</v>
      </c>
      <c r="P302" t="b">
        <v>0</v>
      </c>
      <c r="Q302">
        <v>0.49509403099999999</v>
      </c>
      <c r="R302" s="2">
        <v>1</v>
      </c>
      <c r="S302" s="2" t="str">
        <f t="shared" si="17"/>
        <v>Oct</v>
      </c>
      <c r="T302">
        <f t="shared" si="18"/>
        <v>2025</v>
      </c>
      <c r="U302" s="2" t="str">
        <f t="shared" si="19"/>
        <v>Q4</v>
      </c>
      <c r="V302" t="str">
        <f t="shared" si="20"/>
        <v>Completed</v>
      </c>
    </row>
    <row r="303" spans="1:22" x14ac:dyDescent="0.3">
      <c r="A303" s="2">
        <v>302</v>
      </c>
      <c r="B303" s="1">
        <v>45959</v>
      </c>
      <c r="C303" s="2" t="s">
        <v>5</v>
      </c>
      <c r="D303">
        <v>2943</v>
      </c>
      <c r="E303">
        <v>2780</v>
      </c>
      <c r="F303">
        <v>1404</v>
      </c>
      <c r="G303">
        <v>955</v>
      </c>
      <c r="H303">
        <v>1214</v>
      </c>
      <c r="I303">
        <v>0.52070046199999998</v>
      </c>
      <c r="J303">
        <v>1.167135577</v>
      </c>
      <c r="K303">
        <v>2417</v>
      </c>
      <c r="L303">
        <v>2367</v>
      </c>
      <c r="M303" s="2">
        <v>2</v>
      </c>
      <c r="N303">
        <v>1.818312822</v>
      </c>
      <c r="O303">
        <v>0.80727143599999995</v>
      </c>
      <c r="P303" t="b">
        <v>0</v>
      </c>
      <c r="Q303">
        <v>0.57992641</v>
      </c>
      <c r="R303" s="2">
        <v>1</v>
      </c>
      <c r="S303" s="2" t="str">
        <f t="shared" si="17"/>
        <v>Oct</v>
      </c>
      <c r="T303">
        <f t="shared" si="18"/>
        <v>2025</v>
      </c>
      <c r="U303" s="2" t="str">
        <f t="shared" si="19"/>
        <v>Q4</v>
      </c>
      <c r="V303" t="str">
        <f t="shared" si="20"/>
        <v>Completed</v>
      </c>
    </row>
    <row r="304" spans="1:22" x14ac:dyDescent="0.3">
      <c r="A304" s="2">
        <v>303</v>
      </c>
      <c r="B304" s="1">
        <v>45960</v>
      </c>
      <c r="C304" s="2" t="s">
        <v>17</v>
      </c>
      <c r="D304">
        <v>764</v>
      </c>
      <c r="E304">
        <v>4014</v>
      </c>
      <c r="F304">
        <v>1850</v>
      </c>
      <c r="G304">
        <v>3801</v>
      </c>
      <c r="H304">
        <v>3476</v>
      </c>
      <c r="I304">
        <v>0.228453564</v>
      </c>
      <c r="J304">
        <v>1.6472518739999999</v>
      </c>
      <c r="K304">
        <v>298</v>
      </c>
      <c r="L304">
        <v>1886</v>
      </c>
      <c r="M304" s="2">
        <v>9</v>
      </c>
      <c r="N304">
        <v>1.870887143</v>
      </c>
      <c r="O304">
        <v>0.986056131</v>
      </c>
      <c r="P304" t="b">
        <v>0</v>
      </c>
      <c r="Q304">
        <v>0.13450531499999999</v>
      </c>
      <c r="R304" s="2">
        <v>1</v>
      </c>
      <c r="S304" s="2" t="str">
        <f t="shared" si="17"/>
        <v>Oct</v>
      </c>
      <c r="T304">
        <f t="shared" si="18"/>
        <v>2025</v>
      </c>
      <c r="U304" s="2" t="str">
        <f t="shared" si="19"/>
        <v>Q4</v>
      </c>
      <c r="V304" t="str">
        <f t="shared" si="20"/>
        <v>Completed</v>
      </c>
    </row>
    <row r="305" spans="1:22" x14ac:dyDescent="0.3">
      <c r="A305" s="2">
        <v>304</v>
      </c>
      <c r="B305" s="1">
        <v>45961</v>
      </c>
      <c r="C305" s="2" t="s">
        <v>17</v>
      </c>
      <c r="D305">
        <v>4147</v>
      </c>
      <c r="E305">
        <v>2746</v>
      </c>
      <c r="F305">
        <v>2596</v>
      </c>
      <c r="G305">
        <v>3167</v>
      </c>
      <c r="H305">
        <v>3604</v>
      </c>
      <c r="I305">
        <v>0.25500751700000002</v>
      </c>
      <c r="J305">
        <v>1.00483649</v>
      </c>
      <c r="K305">
        <v>2678</v>
      </c>
      <c r="L305">
        <v>1448</v>
      </c>
      <c r="M305" s="2">
        <v>5</v>
      </c>
      <c r="N305">
        <v>0.51385778900000001</v>
      </c>
      <c r="O305">
        <v>0.97103909600000005</v>
      </c>
      <c r="P305" t="b">
        <v>0</v>
      </c>
      <c r="Q305">
        <v>0.82604251799999995</v>
      </c>
      <c r="R305" s="2">
        <v>1</v>
      </c>
      <c r="S305" s="2" t="str">
        <f t="shared" si="17"/>
        <v>Oct</v>
      </c>
      <c r="T305">
        <f t="shared" si="18"/>
        <v>2025</v>
      </c>
      <c r="U305" s="2" t="str">
        <f t="shared" si="19"/>
        <v>Q4</v>
      </c>
      <c r="V305" t="str">
        <f t="shared" si="20"/>
        <v>Completed</v>
      </c>
    </row>
    <row r="306" spans="1:22" x14ac:dyDescent="0.3">
      <c r="A306" s="2">
        <v>305</v>
      </c>
      <c r="B306" s="1">
        <v>45962</v>
      </c>
      <c r="C306" s="2" t="s">
        <v>17</v>
      </c>
      <c r="D306">
        <v>3366</v>
      </c>
      <c r="E306">
        <v>1779</v>
      </c>
      <c r="F306">
        <v>979</v>
      </c>
      <c r="G306">
        <v>3123</v>
      </c>
      <c r="H306">
        <v>3572</v>
      </c>
      <c r="I306">
        <v>0.34795655199999997</v>
      </c>
      <c r="J306">
        <v>0.60358830299999999</v>
      </c>
      <c r="K306">
        <v>3773</v>
      </c>
      <c r="L306">
        <v>213</v>
      </c>
      <c r="M306" s="2">
        <v>9</v>
      </c>
      <c r="N306">
        <v>1.7685449520000001</v>
      </c>
      <c r="O306">
        <v>0.919970026</v>
      </c>
      <c r="P306" t="b">
        <v>0</v>
      </c>
      <c r="Q306">
        <v>0.66639411299999995</v>
      </c>
      <c r="R306" s="2">
        <v>1</v>
      </c>
      <c r="S306" s="2" t="str">
        <f t="shared" si="17"/>
        <v>Nov</v>
      </c>
      <c r="T306">
        <f t="shared" si="18"/>
        <v>2025</v>
      </c>
      <c r="U306" s="2" t="str">
        <f t="shared" si="19"/>
        <v>Q4</v>
      </c>
      <c r="V306" t="str">
        <f t="shared" si="20"/>
        <v>Completed</v>
      </c>
    </row>
    <row r="307" spans="1:22" x14ac:dyDescent="0.3">
      <c r="A307" s="2">
        <v>306</v>
      </c>
      <c r="B307" s="1">
        <v>45963</v>
      </c>
      <c r="C307" s="2" t="s">
        <v>16</v>
      </c>
      <c r="D307">
        <v>3653</v>
      </c>
      <c r="E307">
        <v>2849</v>
      </c>
      <c r="F307">
        <v>441</v>
      </c>
      <c r="G307">
        <v>2045</v>
      </c>
      <c r="H307">
        <v>1719</v>
      </c>
      <c r="I307">
        <v>0.36616226800000001</v>
      </c>
      <c r="J307">
        <v>1.4819607050000001</v>
      </c>
      <c r="K307">
        <v>2638</v>
      </c>
      <c r="L307">
        <v>1054</v>
      </c>
      <c r="M307" s="2">
        <v>1</v>
      </c>
      <c r="N307">
        <v>1.661328232</v>
      </c>
      <c r="O307">
        <v>0.92965653599999998</v>
      </c>
      <c r="P307" t="b">
        <v>0</v>
      </c>
      <c r="Q307">
        <v>0.72506132499999998</v>
      </c>
      <c r="R307" s="2">
        <v>1</v>
      </c>
      <c r="S307" s="2" t="str">
        <f t="shared" si="17"/>
        <v>Nov</v>
      </c>
      <c r="T307">
        <f t="shared" si="18"/>
        <v>2025</v>
      </c>
      <c r="U307" s="2" t="str">
        <f t="shared" si="19"/>
        <v>Q4</v>
      </c>
      <c r="V307" t="str">
        <f t="shared" si="20"/>
        <v>Completed</v>
      </c>
    </row>
    <row r="308" spans="1:22" x14ac:dyDescent="0.3">
      <c r="A308" s="2">
        <v>307</v>
      </c>
      <c r="B308" s="1">
        <v>45964</v>
      </c>
      <c r="C308" s="2" t="s">
        <v>18</v>
      </c>
      <c r="D308">
        <v>1804</v>
      </c>
      <c r="E308">
        <v>1833</v>
      </c>
      <c r="F308">
        <v>2413</v>
      </c>
      <c r="G308">
        <v>1539</v>
      </c>
      <c r="H308">
        <v>3941</v>
      </c>
      <c r="I308">
        <v>0.76674447099999998</v>
      </c>
      <c r="J308">
        <v>2.8117577210000002</v>
      </c>
      <c r="K308">
        <v>534</v>
      </c>
      <c r="L308">
        <v>278</v>
      </c>
      <c r="M308" s="2">
        <v>2</v>
      </c>
      <c r="N308">
        <v>1.2061351119999999</v>
      </c>
      <c r="O308">
        <v>0.86106712699999999</v>
      </c>
      <c r="P308" t="b">
        <v>0</v>
      </c>
      <c r="Q308">
        <v>0.347097302</v>
      </c>
      <c r="R308" s="2">
        <v>1</v>
      </c>
      <c r="S308" s="2" t="str">
        <f t="shared" si="17"/>
        <v>Nov</v>
      </c>
      <c r="T308">
        <f t="shared" si="18"/>
        <v>2025</v>
      </c>
      <c r="U308" s="2" t="str">
        <f t="shared" si="19"/>
        <v>Q4</v>
      </c>
      <c r="V308" t="str">
        <f t="shared" si="20"/>
        <v>Completed</v>
      </c>
    </row>
    <row r="309" spans="1:22" x14ac:dyDescent="0.3">
      <c r="A309" s="2">
        <v>308</v>
      </c>
      <c r="B309" s="1">
        <v>45965</v>
      </c>
      <c r="C309" s="2" t="s">
        <v>17</v>
      </c>
      <c r="D309">
        <v>3328</v>
      </c>
      <c r="E309">
        <v>1908</v>
      </c>
      <c r="F309">
        <v>3401</v>
      </c>
      <c r="G309">
        <v>1429</v>
      </c>
      <c r="H309">
        <v>403</v>
      </c>
      <c r="I309">
        <v>0.27725100899999999</v>
      </c>
      <c r="J309">
        <v>2.5755776969999999</v>
      </c>
      <c r="K309">
        <v>4473</v>
      </c>
      <c r="L309">
        <v>3209</v>
      </c>
      <c r="M309" s="2">
        <v>7</v>
      </c>
      <c r="N309">
        <v>1.569638468</v>
      </c>
      <c r="O309">
        <v>0.82040210099999999</v>
      </c>
      <c r="P309" t="b">
        <v>0</v>
      </c>
      <c r="Q309">
        <v>0.65862632899999995</v>
      </c>
      <c r="R309" s="2">
        <v>1</v>
      </c>
      <c r="S309" s="2" t="str">
        <f t="shared" si="17"/>
        <v>Nov</v>
      </c>
      <c r="T309">
        <f t="shared" si="18"/>
        <v>2025</v>
      </c>
      <c r="U309" s="2" t="str">
        <f t="shared" si="19"/>
        <v>Q4</v>
      </c>
      <c r="V309" t="str">
        <f t="shared" si="20"/>
        <v>Completed</v>
      </c>
    </row>
    <row r="310" spans="1:22" x14ac:dyDescent="0.3">
      <c r="A310" s="2">
        <v>309</v>
      </c>
      <c r="B310" s="1">
        <v>45966</v>
      </c>
      <c r="C310" s="2" t="s">
        <v>5</v>
      </c>
      <c r="D310">
        <v>1879</v>
      </c>
      <c r="E310">
        <v>2078</v>
      </c>
      <c r="F310">
        <v>3464</v>
      </c>
      <c r="G310">
        <v>2946</v>
      </c>
      <c r="H310">
        <v>3470</v>
      </c>
      <c r="I310">
        <v>0.37875128299999999</v>
      </c>
      <c r="J310">
        <v>1.1466391199999999</v>
      </c>
      <c r="K310">
        <v>3643</v>
      </c>
      <c r="L310">
        <v>1529</v>
      </c>
      <c r="M310" s="2">
        <v>1</v>
      </c>
      <c r="N310">
        <v>1.3538502269999999</v>
      </c>
      <c r="O310">
        <v>0.98168148899999996</v>
      </c>
      <c r="P310" t="b">
        <v>0</v>
      </c>
      <c r="Q310">
        <v>0.36242845499999998</v>
      </c>
      <c r="R310" s="2">
        <v>1</v>
      </c>
      <c r="S310" s="2" t="str">
        <f t="shared" si="17"/>
        <v>Nov</v>
      </c>
      <c r="T310">
        <f t="shared" si="18"/>
        <v>2025</v>
      </c>
      <c r="U310" s="2" t="str">
        <f t="shared" si="19"/>
        <v>Q4</v>
      </c>
      <c r="V310" t="str">
        <f t="shared" si="20"/>
        <v>Completed</v>
      </c>
    </row>
    <row r="311" spans="1:22" x14ac:dyDescent="0.3">
      <c r="A311" s="2">
        <v>310</v>
      </c>
      <c r="B311" s="1">
        <v>45967</v>
      </c>
      <c r="C311" s="2" t="s">
        <v>16</v>
      </c>
      <c r="D311">
        <v>2126</v>
      </c>
      <c r="E311">
        <v>1763</v>
      </c>
      <c r="F311">
        <v>2858</v>
      </c>
      <c r="G311">
        <v>2372</v>
      </c>
      <c r="H311">
        <v>1708</v>
      </c>
      <c r="I311">
        <v>0.244209701</v>
      </c>
      <c r="J311">
        <v>2.9587253580000001</v>
      </c>
      <c r="K311">
        <v>1379</v>
      </c>
      <c r="L311">
        <v>1040</v>
      </c>
      <c r="M311" s="2">
        <v>4</v>
      </c>
      <c r="N311">
        <v>0.83850269700000002</v>
      </c>
      <c r="O311">
        <v>0.84090098899999999</v>
      </c>
      <c r="P311" t="b">
        <v>0</v>
      </c>
      <c r="Q311">
        <v>0.41291905200000001</v>
      </c>
      <c r="R311" s="2">
        <v>1</v>
      </c>
      <c r="S311" s="2" t="str">
        <f t="shared" si="17"/>
        <v>Nov</v>
      </c>
      <c r="T311">
        <f t="shared" si="18"/>
        <v>2025</v>
      </c>
      <c r="U311" s="2" t="str">
        <f t="shared" si="19"/>
        <v>Q4</v>
      </c>
      <c r="V311" t="str">
        <f t="shared" si="20"/>
        <v>Completed</v>
      </c>
    </row>
    <row r="312" spans="1:22" x14ac:dyDescent="0.3">
      <c r="A312" s="2">
        <v>311</v>
      </c>
      <c r="B312" s="1">
        <v>45968</v>
      </c>
      <c r="C312" s="2" t="s">
        <v>16</v>
      </c>
      <c r="D312">
        <v>4024</v>
      </c>
      <c r="E312">
        <v>2060</v>
      </c>
      <c r="F312">
        <v>2342</v>
      </c>
      <c r="G312">
        <v>710</v>
      </c>
      <c r="H312">
        <v>515</v>
      </c>
      <c r="I312">
        <v>0.703674876</v>
      </c>
      <c r="J312">
        <v>2.249387113</v>
      </c>
      <c r="K312">
        <v>2857</v>
      </c>
      <c r="L312">
        <v>1676</v>
      </c>
      <c r="M312" s="2">
        <v>1</v>
      </c>
      <c r="N312">
        <v>0.723949065</v>
      </c>
      <c r="O312">
        <v>0.972103457</v>
      </c>
      <c r="P312" t="b">
        <v>0</v>
      </c>
      <c r="Q312">
        <v>0.80089942800000002</v>
      </c>
      <c r="R312" s="2">
        <v>1</v>
      </c>
      <c r="S312" s="2" t="str">
        <f t="shared" si="17"/>
        <v>Nov</v>
      </c>
      <c r="T312">
        <f t="shared" si="18"/>
        <v>2025</v>
      </c>
      <c r="U312" s="2" t="str">
        <f t="shared" si="19"/>
        <v>Q4</v>
      </c>
      <c r="V312" t="str">
        <f t="shared" si="20"/>
        <v>Completed</v>
      </c>
    </row>
    <row r="313" spans="1:22" x14ac:dyDescent="0.3">
      <c r="A313" s="2">
        <v>312</v>
      </c>
      <c r="B313" s="1">
        <v>45969</v>
      </c>
      <c r="C313" s="2" t="s">
        <v>16</v>
      </c>
      <c r="D313">
        <v>3949</v>
      </c>
      <c r="E313">
        <v>3938</v>
      </c>
      <c r="F313">
        <v>3935</v>
      </c>
      <c r="G313">
        <v>531</v>
      </c>
      <c r="H313">
        <v>1133</v>
      </c>
      <c r="I313">
        <v>0.77080580300000001</v>
      </c>
      <c r="J313">
        <v>1.913027239</v>
      </c>
      <c r="K313">
        <v>1045</v>
      </c>
      <c r="L313">
        <v>3235</v>
      </c>
      <c r="M313" s="2">
        <v>8</v>
      </c>
      <c r="N313">
        <v>0.65397412700000002</v>
      </c>
      <c r="O313">
        <v>0.951779351</v>
      </c>
      <c r="P313" t="b">
        <v>0</v>
      </c>
      <c r="Q313">
        <v>0.78556827500000004</v>
      </c>
      <c r="R313" s="2">
        <v>1</v>
      </c>
      <c r="S313" s="2" t="str">
        <f t="shared" si="17"/>
        <v>Nov</v>
      </c>
      <c r="T313">
        <f t="shared" si="18"/>
        <v>2025</v>
      </c>
      <c r="U313" s="2" t="str">
        <f t="shared" si="19"/>
        <v>Q4</v>
      </c>
      <c r="V313" t="str">
        <f t="shared" si="20"/>
        <v>Completed</v>
      </c>
    </row>
    <row r="314" spans="1:22" x14ac:dyDescent="0.3">
      <c r="A314" s="2">
        <v>313</v>
      </c>
      <c r="B314" s="1">
        <v>45970</v>
      </c>
      <c r="C314" s="2" t="s">
        <v>17</v>
      </c>
      <c r="D314">
        <v>1742</v>
      </c>
      <c r="E314">
        <v>2645</v>
      </c>
      <c r="F314">
        <v>3988</v>
      </c>
      <c r="G314">
        <v>2226</v>
      </c>
      <c r="H314">
        <v>1782</v>
      </c>
      <c r="I314">
        <v>0.71964139599999999</v>
      </c>
      <c r="J314">
        <v>2.1438904970000001</v>
      </c>
      <c r="K314">
        <v>2350</v>
      </c>
      <c r="L314">
        <v>1677</v>
      </c>
      <c r="M314" s="2">
        <v>1</v>
      </c>
      <c r="N314">
        <v>1.119501538</v>
      </c>
      <c r="O314">
        <v>0.92577722900000003</v>
      </c>
      <c r="P314" t="b">
        <v>0</v>
      </c>
      <c r="Q314">
        <v>0.33442354899999999</v>
      </c>
      <c r="R314" s="2">
        <v>1</v>
      </c>
      <c r="S314" s="2" t="str">
        <f t="shared" si="17"/>
        <v>Nov</v>
      </c>
      <c r="T314">
        <f t="shared" si="18"/>
        <v>2025</v>
      </c>
      <c r="U314" s="2" t="str">
        <f t="shared" si="19"/>
        <v>Q4</v>
      </c>
      <c r="V314" t="str">
        <f t="shared" si="20"/>
        <v>Completed</v>
      </c>
    </row>
    <row r="315" spans="1:22" x14ac:dyDescent="0.3">
      <c r="A315" s="2">
        <v>314</v>
      </c>
      <c r="B315" s="1">
        <v>45971</v>
      </c>
      <c r="C315" s="2" t="s">
        <v>16</v>
      </c>
      <c r="D315">
        <v>231</v>
      </c>
      <c r="E315">
        <v>3854</v>
      </c>
      <c r="F315">
        <v>3708</v>
      </c>
      <c r="G315">
        <v>855</v>
      </c>
      <c r="H315">
        <v>1243</v>
      </c>
      <c r="I315">
        <v>0.25113804200000001</v>
      </c>
      <c r="J315">
        <v>1.2796455959999999</v>
      </c>
      <c r="K315">
        <v>1464</v>
      </c>
      <c r="L315">
        <v>1925</v>
      </c>
      <c r="M315" s="2">
        <v>4</v>
      </c>
      <c r="N315">
        <v>0.89668963700000004</v>
      </c>
      <c r="O315">
        <v>0.87423172299999996</v>
      </c>
      <c r="P315" t="b">
        <v>0</v>
      </c>
      <c r="Q315">
        <v>2.5551922000000001E-2</v>
      </c>
      <c r="R315" s="2">
        <v>1</v>
      </c>
      <c r="S315" s="2" t="str">
        <f t="shared" si="17"/>
        <v>Nov</v>
      </c>
      <c r="T315">
        <f t="shared" si="18"/>
        <v>2025</v>
      </c>
      <c r="U315" s="2" t="str">
        <f t="shared" si="19"/>
        <v>Q4</v>
      </c>
      <c r="V315" t="str">
        <f t="shared" si="20"/>
        <v>Completed</v>
      </c>
    </row>
    <row r="316" spans="1:22" x14ac:dyDescent="0.3">
      <c r="A316" s="2">
        <v>315</v>
      </c>
      <c r="B316" s="1">
        <v>45972</v>
      </c>
      <c r="C316" s="2" t="s">
        <v>18</v>
      </c>
      <c r="D316">
        <v>1947</v>
      </c>
      <c r="E316">
        <v>1800</v>
      </c>
      <c r="F316">
        <v>2301</v>
      </c>
      <c r="G316">
        <v>2285</v>
      </c>
      <c r="H316">
        <v>301</v>
      </c>
      <c r="I316">
        <v>0.61418822200000001</v>
      </c>
      <c r="J316">
        <v>1.098223081</v>
      </c>
      <c r="K316">
        <v>1252</v>
      </c>
      <c r="L316">
        <v>2900</v>
      </c>
      <c r="M316" s="2">
        <v>4</v>
      </c>
      <c r="N316">
        <v>0.99893237599999996</v>
      </c>
      <c r="O316">
        <v>0.92928254099999996</v>
      </c>
      <c r="P316" t="b">
        <v>0</v>
      </c>
      <c r="Q316">
        <v>0.37632870000000002</v>
      </c>
      <c r="R316" s="2">
        <v>1</v>
      </c>
      <c r="S316" s="2" t="str">
        <f t="shared" si="17"/>
        <v>Nov</v>
      </c>
      <c r="T316">
        <f t="shared" si="18"/>
        <v>2025</v>
      </c>
      <c r="U316" s="2" t="str">
        <f t="shared" si="19"/>
        <v>Q4</v>
      </c>
      <c r="V316" t="str">
        <f t="shared" si="20"/>
        <v>Completed</v>
      </c>
    </row>
    <row r="317" spans="1:22" x14ac:dyDescent="0.3">
      <c r="A317" s="2">
        <v>316</v>
      </c>
      <c r="B317" s="1">
        <v>45973</v>
      </c>
      <c r="C317" s="2" t="s">
        <v>5</v>
      </c>
      <c r="D317">
        <v>4247</v>
      </c>
      <c r="E317">
        <v>2069</v>
      </c>
      <c r="F317">
        <v>2201</v>
      </c>
      <c r="G317">
        <v>2439</v>
      </c>
      <c r="H317">
        <v>346</v>
      </c>
      <c r="I317">
        <v>0.31008612400000002</v>
      </c>
      <c r="J317">
        <v>2.2602890599999998</v>
      </c>
      <c r="K317">
        <v>4200</v>
      </c>
      <c r="L317">
        <v>2648</v>
      </c>
      <c r="M317" s="2">
        <v>8</v>
      </c>
      <c r="N317">
        <v>1.1161683259999999</v>
      </c>
      <c r="O317">
        <v>0.94859307100000001</v>
      </c>
      <c r="P317" t="b">
        <v>0</v>
      </c>
      <c r="Q317">
        <v>0.84648405599999998</v>
      </c>
      <c r="R317" s="2">
        <v>1</v>
      </c>
      <c r="S317" s="2" t="str">
        <f t="shared" si="17"/>
        <v>Nov</v>
      </c>
      <c r="T317">
        <f t="shared" si="18"/>
        <v>2025</v>
      </c>
      <c r="U317" s="2" t="str">
        <f t="shared" si="19"/>
        <v>Q4</v>
      </c>
      <c r="V317" t="str">
        <f t="shared" si="20"/>
        <v>Completed</v>
      </c>
    </row>
    <row r="318" spans="1:22" x14ac:dyDescent="0.3">
      <c r="A318" s="2">
        <v>317</v>
      </c>
      <c r="B318" s="1">
        <v>45974</v>
      </c>
      <c r="C318" s="2" t="s">
        <v>16</v>
      </c>
      <c r="D318">
        <v>1403</v>
      </c>
      <c r="E318">
        <v>4009</v>
      </c>
      <c r="F318">
        <v>570</v>
      </c>
      <c r="G318">
        <v>591</v>
      </c>
      <c r="H318">
        <v>2501</v>
      </c>
      <c r="I318">
        <v>0.75782155299999998</v>
      </c>
      <c r="J318">
        <v>1.9569078769999999</v>
      </c>
      <c r="K318">
        <v>2130</v>
      </c>
      <c r="L318">
        <v>1712</v>
      </c>
      <c r="M318" s="2">
        <v>2</v>
      </c>
      <c r="N318">
        <v>1.3184644649999999</v>
      </c>
      <c r="O318">
        <v>0.88209405600000002</v>
      </c>
      <c r="P318" t="b">
        <v>0</v>
      </c>
      <c r="Q318">
        <v>0.26512673799999997</v>
      </c>
      <c r="R318" s="2">
        <v>1</v>
      </c>
      <c r="S318" s="2" t="str">
        <f t="shared" si="17"/>
        <v>Nov</v>
      </c>
      <c r="T318">
        <f t="shared" si="18"/>
        <v>2025</v>
      </c>
      <c r="U318" s="2" t="str">
        <f t="shared" si="19"/>
        <v>Q4</v>
      </c>
      <c r="V318" t="str">
        <f t="shared" si="20"/>
        <v>Completed</v>
      </c>
    </row>
    <row r="319" spans="1:22" x14ac:dyDescent="0.3">
      <c r="A319" s="2">
        <v>318</v>
      </c>
      <c r="B319" s="1">
        <v>45975</v>
      </c>
      <c r="C319" s="2" t="s">
        <v>17</v>
      </c>
      <c r="D319">
        <v>4526</v>
      </c>
      <c r="E319">
        <v>4168</v>
      </c>
      <c r="F319">
        <v>684</v>
      </c>
      <c r="G319">
        <v>2210</v>
      </c>
      <c r="H319">
        <v>613</v>
      </c>
      <c r="I319">
        <v>0.315443841</v>
      </c>
      <c r="J319">
        <v>0.91618403999999998</v>
      </c>
      <c r="K319">
        <v>2445</v>
      </c>
      <c r="L319">
        <v>586</v>
      </c>
      <c r="M319" s="2">
        <v>3</v>
      </c>
      <c r="N319">
        <v>0.53095641900000001</v>
      </c>
      <c r="O319">
        <v>0.85626972899999998</v>
      </c>
      <c r="P319" t="b">
        <v>0</v>
      </c>
      <c r="Q319">
        <v>0.90351594400000002</v>
      </c>
      <c r="R319" s="2">
        <v>1</v>
      </c>
      <c r="S319" s="2" t="str">
        <f t="shared" si="17"/>
        <v>Nov</v>
      </c>
      <c r="T319">
        <f t="shared" si="18"/>
        <v>2025</v>
      </c>
      <c r="U319" s="2" t="str">
        <f t="shared" si="19"/>
        <v>Q4</v>
      </c>
      <c r="V319" t="str">
        <f t="shared" si="20"/>
        <v>Completed</v>
      </c>
    </row>
    <row r="320" spans="1:22" x14ac:dyDescent="0.3">
      <c r="A320" s="2">
        <v>319</v>
      </c>
      <c r="B320" s="1">
        <v>45976</v>
      </c>
      <c r="C320" s="2" t="s">
        <v>16</v>
      </c>
      <c r="D320">
        <v>295</v>
      </c>
      <c r="E320">
        <v>1508</v>
      </c>
      <c r="F320">
        <v>1696</v>
      </c>
      <c r="G320">
        <v>684</v>
      </c>
      <c r="H320">
        <v>2098</v>
      </c>
      <c r="I320">
        <v>0.67334419700000003</v>
      </c>
      <c r="J320">
        <v>2.9142126290000001</v>
      </c>
      <c r="K320">
        <v>4474</v>
      </c>
      <c r="L320">
        <v>2738</v>
      </c>
      <c r="M320" s="2">
        <v>7</v>
      </c>
      <c r="N320">
        <v>1.661817828</v>
      </c>
      <c r="O320">
        <v>0.83256742299999997</v>
      </c>
      <c r="P320" t="b">
        <v>0</v>
      </c>
      <c r="Q320">
        <v>3.8634505E-2</v>
      </c>
      <c r="R320" s="2">
        <v>1</v>
      </c>
      <c r="S320" s="2" t="str">
        <f t="shared" si="17"/>
        <v>Nov</v>
      </c>
      <c r="T320">
        <f t="shared" si="18"/>
        <v>2025</v>
      </c>
      <c r="U320" s="2" t="str">
        <f t="shared" si="19"/>
        <v>Q4</v>
      </c>
      <c r="V320" t="str">
        <f t="shared" si="20"/>
        <v>Completed</v>
      </c>
    </row>
    <row r="321" spans="1:22" x14ac:dyDescent="0.3">
      <c r="A321" s="2">
        <v>320</v>
      </c>
      <c r="B321" s="1">
        <v>45977</v>
      </c>
      <c r="C321" s="2" t="s">
        <v>17</v>
      </c>
      <c r="D321">
        <v>4564</v>
      </c>
      <c r="E321">
        <v>2070</v>
      </c>
      <c r="F321">
        <v>2044</v>
      </c>
      <c r="G321">
        <v>524</v>
      </c>
      <c r="H321">
        <v>3945</v>
      </c>
      <c r="I321">
        <v>0.75044833700000002</v>
      </c>
      <c r="J321">
        <v>1.45601168</v>
      </c>
      <c r="K321">
        <v>2979</v>
      </c>
      <c r="L321">
        <v>2841</v>
      </c>
      <c r="M321" s="2">
        <v>9</v>
      </c>
      <c r="N321">
        <v>0.66154829400000004</v>
      </c>
      <c r="O321">
        <v>0.96422831200000003</v>
      </c>
      <c r="P321" t="b">
        <v>0</v>
      </c>
      <c r="Q321">
        <v>0.91128372899999999</v>
      </c>
      <c r="R321" s="2">
        <v>1</v>
      </c>
      <c r="S321" s="2" t="str">
        <f t="shared" si="17"/>
        <v>Nov</v>
      </c>
      <c r="T321">
        <f t="shared" si="18"/>
        <v>2025</v>
      </c>
      <c r="U321" s="2" t="str">
        <f t="shared" si="19"/>
        <v>Q4</v>
      </c>
      <c r="V321" t="str">
        <f t="shared" si="20"/>
        <v>Completed</v>
      </c>
    </row>
    <row r="322" spans="1:22" x14ac:dyDescent="0.3">
      <c r="A322" s="2">
        <v>321</v>
      </c>
      <c r="B322" s="1">
        <v>45978</v>
      </c>
      <c r="C322" s="2" t="s">
        <v>17</v>
      </c>
      <c r="D322">
        <v>298</v>
      </c>
      <c r="E322">
        <v>1227</v>
      </c>
      <c r="F322">
        <v>2242</v>
      </c>
      <c r="G322">
        <v>611</v>
      </c>
      <c r="H322">
        <v>1423</v>
      </c>
      <c r="I322">
        <v>0.319040659</v>
      </c>
      <c r="J322">
        <v>2.4949869339999999</v>
      </c>
      <c r="K322">
        <v>4272</v>
      </c>
      <c r="L322">
        <v>3717</v>
      </c>
      <c r="M322" s="2">
        <v>2</v>
      </c>
      <c r="N322">
        <v>1.8414732810000001</v>
      </c>
      <c r="O322">
        <v>0.95784754500000002</v>
      </c>
      <c r="P322" t="b">
        <v>0</v>
      </c>
      <c r="Q322">
        <v>3.9247750999999997E-2</v>
      </c>
      <c r="R322" s="2">
        <v>1</v>
      </c>
      <c r="S322" s="2" t="str">
        <f t="shared" ref="S322:S385" si="21">TEXT(B322,"MMM")</f>
        <v>Nov</v>
      </c>
      <c r="T322">
        <f t="shared" ref="T322:T385" si="22">YEAR(B322)</f>
        <v>2025</v>
      </c>
      <c r="U322" s="2" t="str">
        <f t="shared" si="19"/>
        <v>Q4</v>
      </c>
      <c r="V322" t="str">
        <f t="shared" si="20"/>
        <v>Completed</v>
      </c>
    </row>
    <row r="323" spans="1:22" x14ac:dyDescent="0.3">
      <c r="A323" s="2">
        <v>322</v>
      </c>
      <c r="B323" s="1">
        <v>45979</v>
      </c>
      <c r="C323" s="2" t="s">
        <v>18</v>
      </c>
      <c r="D323">
        <v>3486</v>
      </c>
      <c r="E323">
        <v>630</v>
      </c>
      <c r="F323">
        <v>3059</v>
      </c>
      <c r="G323">
        <v>2607</v>
      </c>
      <c r="H323">
        <v>2503</v>
      </c>
      <c r="I323">
        <v>0.607736202</v>
      </c>
      <c r="J323">
        <v>0.86193761599999996</v>
      </c>
      <c r="K323">
        <v>4034</v>
      </c>
      <c r="L323">
        <v>3273</v>
      </c>
      <c r="M323" s="2">
        <v>4</v>
      </c>
      <c r="N323">
        <v>0.54955457500000005</v>
      </c>
      <c r="O323">
        <v>0.94122117900000002</v>
      </c>
      <c r="P323" t="b">
        <v>0</v>
      </c>
      <c r="Q323">
        <v>0.69092395699999998</v>
      </c>
      <c r="R323" s="2">
        <v>1</v>
      </c>
      <c r="S323" s="2" t="str">
        <f t="shared" si="21"/>
        <v>Nov</v>
      </c>
      <c r="T323">
        <f t="shared" si="22"/>
        <v>2025</v>
      </c>
      <c r="U323" s="2" t="str">
        <f t="shared" ref="U323:U386" si="23">"Q"&amp;ROUNDUP(MONTH(B323)/3,0)</f>
        <v>Q4</v>
      </c>
      <c r="V323" t="str">
        <f t="shared" si="20"/>
        <v>Completed</v>
      </c>
    </row>
    <row r="324" spans="1:22" x14ac:dyDescent="0.3">
      <c r="A324" s="2">
        <v>323</v>
      </c>
      <c r="B324" s="1">
        <v>45980</v>
      </c>
      <c r="C324" s="2" t="s">
        <v>18</v>
      </c>
      <c r="D324">
        <v>2737</v>
      </c>
      <c r="E324">
        <v>2822</v>
      </c>
      <c r="F324">
        <v>2520</v>
      </c>
      <c r="G324">
        <v>1630</v>
      </c>
      <c r="H324">
        <v>322</v>
      </c>
      <c r="I324">
        <v>0.44120197799999999</v>
      </c>
      <c r="J324">
        <v>1.103573106</v>
      </c>
      <c r="K324">
        <v>4034</v>
      </c>
      <c r="L324">
        <v>3638</v>
      </c>
      <c r="M324" s="2">
        <v>5</v>
      </c>
      <c r="N324">
        <v>0.99385067999999999</v>
      </c>
      <c r="O324">
        <v>0.94681907099999996</v>
      </c>
      <c r="P324" t="b">
        <v>0</v>
      </c>
      <c r="Q324">
        <v>0.53781684399999996</v>
      </c>
      <c r="R324" s="2">
        <v>0</v>
      </c>
      <c r="S324" s="2" t="str">
        <f t="shared" si="21"/>
        <v>Nov</v>
      </c>
      <c r="T324">
        <f t="shared" si="22"/>
        <v>2025</v>
      </c>
      <c r="U324" s="2" t="str">
        <f t="shared" si="23"/>
        <v>Q4</v>
      </c>
      <c r="V324" t="str">
        <f t="shared" ref="V324:V387" si="24">IF(R323=1,"Completed","Failed")</f>
        <v>Completed</v>
      </c>
    </row>
    <row r="325" spans="1:22" x14ac:dyDescent="0.3">
      <c r="A325" s="2">
        <v>324</v>
      </c>
      <c r="B325" s="1">
        <v>45981</v>
      </c>
      <c r="C325" s="2" t="s">
        <v>5</v>
      </c>
      <c r="D325">
        <v>2978</v>
      </c>
      <c r="E325">
        <v>2907</v>
      </c>
      <c r="F325">
        <v>3881</v>
      </c>
      <c r="G325">
        <v>4473</v>
      </c>
      <c r="H325">
        <v>1415</v>
      </c>
      <c r="I325">
        <v>0.712397155</v>
      </c>
      <c r="J325">
        <v>1.9174330829999999</v>
      </c>
      <c r="K325">
        <v>2318</v>
      </c>
      <c r="L325">
        <v>398</v>
      </c>
      <c r="M325" s="2">
        <v>5</v>
      </c>
      <c r="N325">
        <v>1.0601081960000001</v>
      </c>
      <c r="O325">
        <v>0.903719932</v>
      </c>
      <c r="P325" t="b">
        <v>0</v>
      </c>
      <c r="Q325">
        <v>0.58708094799999999</v>
      </c>
      <c r="R325" s="2">
        <v>1</v>
      </c>
      <c r="S325" s="2" t="str">
        <f t="shared" si="21"/>
        <v>Nov</v>
      </c>
      <c r="T325">
        <f t="shared" si="22"/>
        <v>2025</v>
      </c>
      <c r="U325" s="2" t="str">
        <f t="shared" si="23"/>
        <v>Q4</v>
      </c>
      <c r="V325" t="str">
        <f t="shared" si="24"/>
        <v>Failed</v>
      </c>
    </row>
    <row r="326" spans="1:22" x14ac:dyDescent="0.3">
      <c r="A326" s="2">
        <v>325</v>
      </c>
      <c r="B326" s="1">
        <v>45982</v>
      </c>
      <c r="C326" s="2" t="s">
        <v>18</v>
      </c>
      <c r="D326">
        <v>175</v>
      </c>
      <c r="E326">
        <v>1398</v>
      </c>
      <c r="F326">
        <v>2620</v>
      </c>
      <c r="G326">
        <v>1197</v>
      </c>
      <c r="H326">
        <v>2034</v>
      </c>
      <c r="I326">
        <v>0.40973875100000001</v>
      </c>
      <c r="J326">
        <v>2.3942959959999999</v>
      </c>
      <c r="K326">
        <v>4043</v>
      </c>
      <c r="L326">
        <v>3973</v>
      </c>
      <c r="M326" s="2">
        <v>9</v>
      </c>
      <c r="N326">
        <v>1.784078998</v>
      </c>
      <c r="O326">
        <v>0.91137765999999998</v>
      </c>
      <c r="P326" t="b">
        <v>0</v>
      </c>
      <c r="Q326">
        <v>1.4104660999999999E-2</v>
      </c>
      <c r="R326" s="2">
        <v>1</v>
      </c>
      <c r="S326" s="2" t="str">
        <f t="shared" si="21"/>
        <v>Nov</v>
      </c>
      <c r="T326">
        <f t="shared" si="22"/>
        <v>2025</v>
      </c>
      <c r="U326" s="2" t="str">
        <f t="shared" si="23"/>
        <v>Q4</v>
      </c>
      <c r="V326" t="str">
        <f t="shared" si="24"/>
        <v>Completed</v>
      </c>
    </row>
    <row r="327" spans="1:22" x14ac:dyDescent="0.3">
      <c r="A327" s="2">
        <v>326</v>
      </c>
      <c r="B327" s="1">
        <v>45983</v>
      </c>
      <c r="C327" s="2" t="s">
        <v>16</v>
      </c>
      <c r="D327">
        <v>3125</v>
      </c>
      <c r="E327">
        <v>1103</v>
      </c>
      <c r="F327">
        <v>1868</v>
      </c>
      <c r="G327">
        <v>862</v>
      </c>
      <c r="H327">
        <v>1350</v>
      </c>
      <c r="I327">
        <v>0.77291388900000002</v>
      </c>
      <c r="J327">
        <v>2.640404969</v>
      </c>
      <c r="K327">
        <v>2405</v>
      </c>
      <c r="L327">
        <v>3016</v>
      </c>
      <c r="M327" s="2">
        <v>5</v>
      </c>
      <c r="N327">
        <v>1.2789865920000001</v>
      </c>
      <c r="O327">
        <v>0.909968318</v>
      </c>
      <c r="P327" t="b">
        <v>0</v>
      </c>
      <c r="Q327">
        <v>0.61713000799999995</v>
      </c>
      <c r="R327" s="2">
        <v>1</v>
      </c>
      <c r="S327" s="2" t="str">
        <f t="shared" si="21"/>
        <v>Nov</v>
      </c>
      <c r="T327">
        <f t="shared" si="22"/>
        <v>2025</v>
      </c>
      <c r="U327" s="2" t="str">
        <f t="shared" si="23"/>
        <v>Q4</v>
      </c>
      <c r="V327" t="str">
        <f t="shared" si="24"/>
        <v>Completed</v>
      </c>
    </row>
    <row r="328" spans="1:22" x14ac:dyDescent="0.3">
      <c r="A328" s="2">
        <v>327</v>
      </c>
      <c r="B328" s="1">
        <v>45984</v>
      </c>
      <c r="C328" s="2" t="s">
        <v>17</v>
      </c>
      <c r="D328">
        <v>656</v>
      </c>
      <c r="E328">
        <v>2468</v>
      </c>
      <c r="F328">
        <v>3523</v>
      </c>
      <c r="G328">
        <v>2467</v>
      </c>
      <c r="H328">
        <v>264</v>
      </c>
      <c r="I328">
        <v>0.39266964900000001</v>
      </c>
      <c r="J328">
        <v>1.3016931730000001</v>
      </c>
      <c r="K328">
        <v>1097</v>
      </c>
      <c r="L328">
        <v>147</v>
      </c>
      <c r="M328" s="2">
        <v>2</v>
      </c>
      <c r="N328">
        <v>1.173983518</v>
      </c>
      <c r="O328">
        <v>0.85285879499999995</v>
      </c>
      <c r="P328" t="b">
        <v>0</v>
      </c>
      <c r="Q328">
        <v>0.112428455</v>
      </c>
      <c r="R328" s="2">
        <v>1</v>
      </c>
      <c r="S328" s="2" t="str">
        <f t="shared" si="21"/>
        <v>Nov</v>
      </c>
      <c r="T328">
        <f t="shared" si="22"/>
        <v>2025</v>
      </c>
      <c r="U328" s="2" t="str">
        <f t="shared" si="23"/>
        <v>Q4</v>
      </c>
      <c r="V328" t="str">
        <f t="shared" si="24"/>
        <v>Completed</v>
      </c>
    </row>
    <row r="329" spans="1:22" x14ac:dyDescent="0.3">
      <c r="A329" s="2">
        <v>328</v>
      </c>
      <c r="B329" s="1">
        <v>45985</v>
      </c>
      <c r="C329" s="2" t="s">
        <v>18</v>
      </c>
      <c r="D329">
        <v>4031</v>
      </c>
      <c r="E329">
        <v>748</v>
      </c>
      <c r="F329">
        <v>755</v>
      </c>
      <c r="G329">
        <v>2064</v>
      </c>
      <c r="H329">
        <v>2601</v>
      </c>
      <c r="I329">
        <v>0.51783084300000004</v>
      </c>
      <c r="J329">
        <v>0.93363953600000005</v>
      </c>
      <c r="K329">
        <v>968</v>
      </c>
      <c r="L329">
        <v>900</v>
      </c>
      <c r="M329" s="2">
        <v>2</v>
      </c>
      <c r="N329">
        <v>1.484193592</v>
      </c>
      <c r="O329">
        <v>0.89772264999999996</v>
      </c>
      <c r="P329" t="b">
        <v>0</v>
      </c>
      <c r="Q329">
        <v>0.80233033499999995</v>
      </c>
      <c r="R329" s="2">
        <v>1</v>
      </c>
      <c r="S329" s="2" t="str">
        <f t="shared" si="21"/>
        <v>Nov</v>
      </c>
      <c r="T329">
        <f t="shared" si="22"/>
        <v>2025</v>
      </c>
      <c r="U329" s="2" t="str">
        <f t="shared" si="23"/>
        <v>Q4</v>
      </c>
      <c r="V329" t="str">
        <f t="shared" si="24"/>
        <v>Completed</v>
      </c>
    </row>
    <row r="330" spans="1:22" x14ac:dyDescent="0.3">
      <c r="A330" s="2">
        <v>329</v>
      </c>
      <c r="B330" s="1">
        <v>45986</v>
      </c>
      <c r="C330" s="2" t="s">
        <v>17</v>
      </c>
      <c r="D330">
        <v>3314</v>
      </c>
      <c r="E330">
        <v>4088</v>
      </c>
      <c r="F330">
        <v>615</v>
      </c>
      <c r="G330">
        <v>3979</v>
      </c>
      <c r="H330">
        <v>1490</v>
      </c>
      <c r="I330">
        <v>0.74921772799999997</v>
      </c>
      <c r="J330">
        <v>1.5868488080000001</v>
      </c>
      <c r="K330">
        <v>4241</v>
      </c>
      <c r="L330">
        <v>3725</v>
      </c>
      <c r="M330" s="2">
        <v>9</v>
      </c>
      <c r="N330">
        <v>1.7257153009999999</v>
      </c>
      <c r="O330">
        <v>0.97248063200000001</v>
      </c>
      <c r="P330" t="b">
        <v>0</v>
      </c>
      <c r="Q330">
        <v>0.65576451300000005</v>
      </c>
      <c r="R330" s="2">
        <v>1</v>
      </c>
      <c r="S330" s="2" t="str">
        <f t="shared" si="21"/>
        <v>Nov</v>
      </c>
      <c r="T330">
        <f t="shared" si="22"/>
        <v>2025</v>
      </c>
      <c r="U330" s="2" t="str">
        <f t="shared" si="23"/>
        <v>Q4</v>
      </c>
      <c r="V330" t="str">
        <f t="shared" si="24"/>
        <v>Completed</v>
      </c>
    </row>
    <row r="331" spans="1:22" x14ac:dyDescent="0.3">
      <c r="A331" s="2">
        <v>330</v>
      </c>
      <c r="B331" s="1">
        <v>45987</v>
      </c>
      <c r="C331" s="2" t="s">
        <v>16</v>
      </c>
      <c r="D331">
        <v>253</v>
      </c>
      <c r="E331">
        <v>2563</v>
      </c>
      <c r="F331">
        <v>1048</v>
      </c>
      <c r="G331">
        <v>4959</v>
      </c>
      <c r="H331">
        <v>1808</v>
      </c>
      <c r="I331">
        <v>0.46478335399999998</v>
      </c>
      <c r="J331">
        <v>1.815487305</v>
      </c>
      <c r="K331">
        <v>2142</v>
      </c>
      <c r="L331">
        <v>829</v>
      </c>
      <c r="M331" s="2">
        <v>2</v>
      </c>
      <c r="N331">
        <v>1.5882219179999999</v>
      </c>
      <c r="O331">
        <v>0.96350026099999997</v>
      </c>
      <c r="P331" t="b">
        <v>0</v>
      </c>
      <c r="Q331">
        <v>3.0049059999999999E-2</v>
      </c>
      <c r="R331" s="2">
        <v>1</v>
      </c>
      <c r="S331" s="2" t="str">
        <f t="shared" si="21"/>
        <v>Nov</v>
      </c>
      <c r="T331">
        <f t="shared" si="22"/>
        <v>2025</v>
      </c>
      <c r="U331" s="2" t="str">
        <f t="shared" si="23"/>
        <v>Q4</v>
      </c>
      <c r="V331" t="str">
        <f t="shared" si="24"/>
        <v>Completed</v>
      </c>
    </row>
    <row r="332" spans="1:22" x14ac:dyDescent="0.3">
      <c r="A332" s="2">
        <v>331</v>
      </c>
      <c r="B332" s="1">
        <v>45988</v>
      </c>
      <c r="C332" s="2" t="s">
        <v>5</v>
      </c>
      <c r="D332">
        <v>1044</v>
      </c>
      <c r="E332">
        <v>3812</v>
      </c>
      <c r="F332">
        <v>1886</v>
      </c>
      <c r="G332">
        <v>842</v>
      </c>
      <c r="H332">
        <v>3756</v>
      </c>
      <c r="I332">
        <v>0.348043936</v>
      </c>
      <c r="J332">
        <v>1.463948005</v>
      </c>
      <c r="K332">
        <v>2988</v>
      </c>
      <c r="L332">
        <v>597</v>
      </c>
      <c r="M332" s="2">
        <v>1</v>
      </c>
      <c r="N332">
        <v>1.2590567779999999</v>
      </c>
      <c r="O332">
        <v>0.87592375700000003</v>
      </c>
      <c r="P332" t="b">
        <v>0</v>
      </c>
      <c r="Q332">
        <v>0.191741619</v>
      </c>
      <c r="R332" s="2">
        <v>1</v>
      </c>
      <c r="S332" s="2" t="str">
        <f t="shared" si="21"/>
        <v>Nov</v>
      </c>
      <c r="T332">
        <f t="shared" si="22"/>
        <v>2025</v>
      </c>
      <c r="U332" s="2" t="str">
        <f t="shared" si="23"/>
        <v>Q4</v>
      </c>
      <c r="V332" t="str">
        <f t="shared" si="24"/>
        <v>Completed</v>
      </c>
    </row>
    <row r="333" spans="1:22" x14ac:dyDescent="0.3">
      <c r="A333" s="2">
        <v>332</v>
      </c>
      <c r="B333" s="1">
        <v>45989</v>
      </c>
      <c r="C333" s="2" t="s">
        <v>16</v>
      </c>
      <c r="D333">
        <v>2144</v>
      </c>
      <c r="E333">
        <v>4107</v>
      </c>
      <c r="F333">
        <v>482</v>
      </c>
      <c r="G333">
        <v>2480</v>
      </c>
      <c r="H333">
        <v>3763</v>
      </c>
      <c r="I333">
        <v>0.347136006</v>
      </c>
      <c r="J333">
        <v>0.74738070599999995</v>
      </c>
      <c r="K333">
        <v>1538</v>
      </c>
      <c r="L333">
        <v>1284</v>
      </c>
      <c r="M333" s="2">
        <v>8</v>
      </c>
      <c r="N333">
        <v>1.053221062</v>
      </c>
      <c r="O333">
        <v>0.88005318499999996</v>
      </c>
      <c r="P333" t="b">
        <v>0</v>
      </c>
      <c r="Q333">
        <v>0.41659852800000002</v>
      </c>
      <c r="R333" s="2">
        <v>1</v>
      </c>
      <c r="S333" s="2" t="str">
        <f t="shared" si="21"/>
        <v>Nov</v>
      </c>
      <c r="T333">
        <f t="shared" si="22"/>
        <v>2025</v>
      </c>
      <c r="U333" s="2" t="str">
        <f t="shared" si="23"/>
        <v>Q4</v>
      </c>
      <c r="V333" t="str">
        <f t="shared" si="24"/>
        <v>Completed</v>
      </c>
    </row>
    <row r="334" spans="1:22" x14ac:dyDescent="0.3">
      <c r="A334" s="2">
        <v>333</v>
      </c>
      <c r="B334" s="1">
        <v>45990</v>
      </c>
      <c r="C334" s="2" t="s">
        <v>17</v>
      </c>
      <c r="D334">
        <v>1080</v>
      </c>
      <c r="E334">
        <v>3181</v>
      </c>
      <c r="F334">
        <v>3499</v>
      </c>
      <c r="G334">
        <v>2243</v>
      </c>
      <c r="H334">
        <v>1669</v>
      </c>
      <c r="I334">
        <v>0.67130597000000003</v>
      </c>
      <c r="J334">
        <v>1.564201607</v>
      </c>
      <c r="K334">
        <v>1567</v>
      </c>
      <c r="L334">
        <v>2249</v>
      </c>
      <c r="M334" s="2">
        <v>9</v>
      </c>
      <c r="N334">
        <v>0.52699774600000004</v>
      </c>
      <c r="O334">
        <v>0.90195935400000005</v>
      </c>
      <c r="P334" t="b">
        <v>0</v>
      </c>
      <c r="Q334">
        <v>0.199100572</v>
      </c>
      <c r="R334" s="2">
        <v>1</v>
      </c>
      <c r="S334" s="2" t="str">
        <f t="shared" si="21"/>
        <v>Nov</v>
      </c>
      <c r="T334">
        <f t="shared" si="22"/>
        <v>2025</v>
      </c>
      <c r="U334" s="2" t="str">
        <f t="shared" si="23"/>
        <v>Q4</v>
      </c>
      <c r="V334" t="str">
        <f t="shared" si="24"/>
        <v>Completed</v>
      </c>
    </row>
    <row r="335" spans="1:22" x14ac:dyDescent="0.3">
      <c r="A335" s="2">
        <v>334</v>
      </c>
      <c r="B335" s="1">
        <v>45991</v>
      </c>
      <c r="C335" s="2" t="s">
        <v>18</v>
      </c>
      <c r="D335">
        <v>830</v>
      </c>
      <c r="E335">
        <v>1721</v>
      </c>
      <c r="F335">
        <v>319</v>
      </c>
      <c r="G335">
        <v>1643</v>
      </c>
      <c r="H335">
        <v>2870</v>
      </c>
      <c r="I335">
        <v>0.508045741</v>
      </c>
      <c r="J335">
        <v>2.8442686190000002</v>
      </c>
      <c r="K335">
        <v>1115</v>
      </c>
      <c r="L335">
        <v>1715</v>
      </c>
      <c r="M335" s="2">
        <v>5</v>
      </c>
      <c r="N335">
        <v>0.56821247500000005</v>
      </c>
      <c r="O335">
        <v>0.87530993999999995</v>
      </c>
      <c r="P335" t="b">
        <v>0</v>
      </c>
      <c r="Q335">
        <v>0.14799672899999999</v>
      </c>
      <c r="R335" s="2">
        <v>1</v>
      </c>
      <c r="S335" s="2" t="str">
        <f t="shared" si="21"/>
        <v>Nov</v>
      </c>
      <c r="T335">
        <f t="shared" si="22"/>
        <v>2025</v>
      </c>
      <c r="U335" s="2" t="str">
        <f t="shared" si="23"/>
        <v>Q4</v>
      </c>
      <c r="V335" t="str">
        <f t="shared" si="24"/>
        <v>Completed</v>
      </c>
    </row>
    <row r="336" spans="1:22" x14ac:dyDescent="0.3">
      <c r="A336" s="2">
        <v>335</v>
      </c>
      <c r="B336" s="1">
        <v>45992</v>
      </c>
      <c r="C336" s="2" t="s">
        <v>16</v>
      </c>
      <c r="D336">
        <v>795</v>
      </c>
      <c r="E336">
        <v>2003</v>
      </c>
      <c r="F336">
        <v>3672</v>
      </c>
      <c r="G336">
        <v>4057</v>
      </c>
      <c r="H336">
        <v>108</v>
      </c>
      <c r="I336">
        <v>0.33527251400000002</v>
      </c>
      <c r="J336">
        <v>0.53817432399999998</v>
      </c>
      <c r="K336">
        <v>3896</v>
      </c>
      <c r="L336">
        <v>3173</v>
      </c>
      <c r="M336" s="2">
        <v>6</v>
      </c>
      <c r="N336">
        <v>1.426287895</v>
      </c>
      <c r="O336">
        <v>0.80889277000000004</v>
      </c>
      <c r="P336" t="b">
        <v>0</v>
      </c>
      <c r="Q336">
        <v>0.14084219100000001</v>
      </c>
      <c r="R336" s="2">
        <v>1</v>
      </c>
      <c r="S336" s="2" t="str">
        <f t="shared" si="21"/>
        <v>Dec</v>
      </c>
      <c r="T336">
        <f t="shared" si="22"/>
        <v>2025</v>
      </c>
      <c r="U336" s="2" t="str">
        <f t="shared" si="23"/>
        <v>Q4</v>
      </c>
      <c r="V336" t="str">
        <f t="shared" si="24"/>
        <v>Completed</v>
      </c>
    </row>
    <row r="337" spans="1:22" x14ac:dyDescent="0.3">
      <c r="A337" s="2">
        <v>336</v>
      </c>
      <c r="B337" s="1">
        <v>45993</v>
      </c>
      <c r="C337" s="2" t="s">
        <v>18</v>
      </c>
      <c r="D337">
        <v>1056</v>
      </c>
      <c r="E337">
        <v>2361</v>
      </c>
      <c r="F337">
        <v>1597</v>
      </c>
      <c r="G337">
        <v>1367</v>
      </c>
      <c r="H337">
        <v>1380</v>
      </c>
      <c r="I337">
        <v>0.76848693000000001</v>
      </c>
      <c r="J337">
        <v>2.9146270150000002</v>
      </c>
      <c r="K337">
        <v>1871</v>
      </c>
      <c r="L337">
        <v>1862</v>
      </c>
      <c r="M337" s="2">
        <v>5</v>
      </c>
      <c r="N337">
        <v>1.2964546699999999</v>
      </c>
      <c r="O337">
        <v>0.84292949299999997</v>
      </c>
      <c r="P337" t="b">
        <v>0</v>
      </c>
      <c r="Q337">
        <v>0.19419460299999999</v>
      </c>
      <c r="R337" s="2">
        <v>0</v>
      </c>
      <c r="S337" s="2" t="str">
        <f t="shared" si="21"/>
        <v>Dec</v>
      </c>
      <c r="T337">
        <f t="shared" si="22"/>
        <v>2025</v>
      </c>
      <c r="U337" s="2" t="str">
        <f t="shared" si="23"/>
        <v>Q4</v>
      </c>
      <c r="V337" t="str">
        <f t="shared" si="24"/>
        <v>Completed</v>
      </c>
    </row>
    <row r="338" spans="1:22" x14ac:dyDescent="0.3">
      <c r="A338" s="2">
        <v>337</v>
      </c>
      <c r="B338" s="1">
        <v>45994</v>
      </c>
      <c r="C338" s="2" t="s">
        <v>5</v>
      </c>
      <c r="D338">
        <v>739</v>
      </c>
      <c r="E338">
        <v>3338</v>
      </c>
      <c r="F338">
        <v>725</v>
      </c>
      <c r="G338">
        <v>3278</v>
      </c>
      <c r="H338">
        <v>3506</v>
      </c>
      <c r="I338">
        <v>0.22933034899999999</v>
      </c>
      <c r="J338">
        <v>1.2463118049999999</v>
      </c>
      <c r="K338">
        <v>2450</v>
      </c>
      <c r="L338">
        <v>3288</v>
      </c>
      <c r="M338" s="2">
        <v>4</v>
      </c>
      <c r="N338">
        <v>1.897578102</v>
      </c>
      <c r="O338">
        <v>0.96688697599999995</v>
      </c>
      <c r="P338" t="b">
        <v>0</v>
      </c>
      <c r="Q338">
        <v>0.12939492999999999</v>
      </c>
      <c r="R338" s="2">
        <v>1</v>
      </c>
      <c r="S338" s="2" t="str">
        <f t="shared" si="21"/>
        <v>Dec</v>
      </c>
      <c r="T338">
        <f t="shared" si="22"/>
        <v>2025</v>
      </c>
      <c r="U338" s="2" t="str">
        <f t="shared" si="23"/>
        <v>Q4</v>
      </c>
      <c r="V338" t="str">
        <f t="shared" si="24"/>
        <v>Failed</v>
      </c>
    </row>
    <row r="339" spans="1:22" x14ac:dyDescent="0.3">
      <c r="A339" s="2">
        <v>338</v>
      </c>
      <c r="B339" s="1">
        <v>45995</v>
      </c>
      <c r="C339" s="2" t="s">
        <v>18</v>
      </c>
      <c r="D339">
        <v>2138</v>
      </c>
      <c r="E339">
        <v>2333</v>
      </c>
      <c r="F339">
        <v>974</v>
      </c>
      <c r="G339">
        <v>2714</v>
      </c>
      <c r="H339">
        <v>3985</v>
      </c>
      <c r="I339">
        <v>0.58578106799999996</v>
      </c>
      <c r="J339">
        <v>1.8021580479999999</v>
      </c>
      <c r="K339">
        <v>2232</v>
      </c>
      <c r="L339">
        <v>3467</v>
      </c>
      <c r="M339" s="2">
        <v>6</v>
      </c>
      <c r="N339">
        <v>0.78731720000000005</v>
      </c>
      <c r="O339">
        <v>0.85564794799999999</v>
      </c>
      <c r="P339" t="b">
        <v>0</v>
      </c>
      <c r="Q339">
        <v>0.415372036</v>
      </c>
      <c r="R339" s="2">
        <v>1</v>
      </c>
      <c r="S339" s="2" t="str">
        <f t="shared" si="21"/>
        <v>Dec</v>
      </c>
      <c r="T339">
        <f t="shared" si="22"/>
        <v>2025</v>
      </c>
      <c r="U339" s="2" t="str">
        <f t="shared" si="23"/>
        <v>Q4</v>
      </c>
      <c r="V339" t="str">
        <f t="shared" si="24"/>
        <v>Completed</v>
      </c>
    </row>
    <row r="340" spans="1:22" x14ac:dyDescent="0.3">
      <c r="A340" s="2">
        <v>339</v>
      </c>
      <c r="B340" s="1">
        <v>45996</v>
      </c>
      <c r="C340" s="2" t="s">
        <v>16</v>
      </c>
      <c r="D340">
        <v>4222</v>
      </c>
      <c r="E340">
        <v>1229</v>
      </c>
      <c r="F340">
        <v>3025</v>
      </c>
      <c r="G340">
        <v>4206</v>
      </c>
      <c r="H340">
        <v>1999</v>
      </c>
      <c r="I340">
        <v>0.32788948400000001</v>
      </c>
      <c r="J340">
        <v>2.6808164900000002</v>
      </c>
      <c r="K340">
        <v>4445</v>
      </c>
      <c r="L340">
        <v>520</v>
      </c>
      <c r="M340" s="2">
        <v>7</v>
      </c>
      <c r="N340">
        <v>1.5844678240000001</v>
      </c>
      <c r="O340">
        <v>0.95069730500000005</v>
      </c>
      <c r="P340" t="b">
        <v>0</v>
      </c>
      <c r="Q340">
        <v>0.84137367100000005</v>
      </c>
      <c r="R340" s="2">
        <v>1</v>
      </c>
      <c r="S340" s="2" t="str">
        <f t="shared" si="21"/>
        <v>Dec</v>
      </c>
      <c r="T340">
        <f t="shared" si="22"/>
        <v>2025</v>
      </c>
      <c r="U340" s="2" t="str">
        <f t="shared" si="23"/>
        <v>Q4</v>
      </c>
      <c r="V340" t="str">
        <f t="shared" si="24"/>
        <v>Completed</v>
      </c>
    </row>
    <row r="341" spans="1:22" x14ac:dyDescent="0.3">
      <c r="A341" s="2">
        <v>340</v>
      </c>
      <c r="B341" s="1">
        <v>45997</v>
      </c>
      <c r="C341" s="2" t="s">
        <v>16</v>
      </c>
      <c r="D341">
        <v>900</v>
      </c>
      <c r="E341">
        <v>1472</v>
      </c>
      <c r="F341">
        <v>216</v>
      </c>
      <c r="G341">
        <v>2585</v>
      </c>
      <c r="H341">
        <v>959</v>
      </c>
      <c r="I341">
        <v>0.64297710500000005</v>
      </c>
      <c r="J341">
        <v>2.0491999019999998</v>
      </c>
      <c r="K341">
        <v>1358</v>
      </c>
      <c r="L341">
        <v>2037</v>
      </c>
      <c r="M341" s="2">
        <v>5</v>
      </c>
      <c r="N341">
        <v>1.607591378</v>
      </c>
      <c r="O341">
        <v>0.80909983500000004</v>
      </c>
      <c r="P341" t="b">
        <v>0</v>
      </c>
      <c r="Q341">
        <v>0.162305805</v>
      </c>
      <c r="R341" s="2">
        <v>1</v>
      </c>
      <c r="S341" s="2" t="str">
        <f t="shared" si="21"/>
        <v>Dec</v>
      </c>
      <c r="T341">
        <f t="shared" si="22"/>
        <v>2025</v>
      </c>
      <c r="U341" s="2" t="str">
        <f t="shared" si="23"/>
        <v>Q4</v>
      </c>
      <c r="V341" t="str">
        <f t="shared" si="24"/>
        <v>Completed</v>
      </c>
    </row>
    <row r="342" spans="1:22" x14ac:dyDescent="0.3">
      <c r="A342" s="2">
        <v>341</v>
      </c>
      <c r="B342" s="1">
        <v>45998</v>
      </c>
      <c r="C342" s="2" t="s">
        <v>16</v>
      </c>
      <c r="D342">
        <v>1388</v>
      </c>
      <c r="E342">
        <v>3773</v>
      </c>
      <c r="F342">
        <v>1294</v>
      </c>
      <c r="G342">
        <v>4758</v>
      </c>
      <c r="H342">
        <v>3495</v>
      </c>
      <c r="I342">
        <v>0.72798757999999997</v>
      </c>
      <c r="J342">
        <v>2.9694920749999998</v>
      </c>
      <c r="K342">
        <v>1291</v>
      </c>
      <c r="L342">
        <v>1214</v>
      </c>
      <c r="M342" s="2">
        <v>5</v>
      </c>
      <c r="N342">
        <v>1.1800231910000001</v>
      </c>
      <c r="O342">
        <v>0.97608492400000002</v>
      </c>
      <c r="P342" t="b">
        <v>0</v>
      </c>
      <c r="Q342">
        <v>0.262060507</v>
      </c>
      <c r="R342" s="2">
        <v>1</v>
      </c>
      <c r="S342" s="2" t="str">
        <f t="shared" si="21"/>
        <v>Dec</v>
      </c>
      <c r="T342">
        <f t="shared" si="22"/>
        <v>2025</v>
      </c>
      <c r="U342" s="2" t="str">
        <f t="shared" si="23"/>
        <v>Q4</v>
      </c>
      <c r="V342" t="str">
        <f t="shared" si="24"/>
        <v>Completed</v>
      </c>
    </row>
    <row r="343" spans="1:22" x14ac:dyDescent="0.3">
      <c r="A343" s="2">
        <v>342</v>
      </c>
      <c r="B343" s="1">
        <v>45999</v>
      </c>
      <c r="C343" s="2" t="s">
        <v>18</v>
      </c>
      <c r="D343">
        <v>4984</v>
      </c>
      <c r="E343">
        <v>1844</v>
      </c>
      <c r="F343">
        <v>3017</v>
      </c>
      <c r="G343">
        <v>1919</v>
      </c>
      <c r="H343">
        <v>937</v>
      </c>
      <c r="I343">
        <v>0.62141155599999998</v>
      </c>
      <c r="J343">
        <v>1.1509223420000001</v>
      </c>
      <c r="K343">
        <v>3128</v>
      </c>
      <c r="L343">
        <v>2296</v>
      </c>
      <c r="M343" s="2">
        <v>4</v>
      </c>
      <c r="N343">
        <v>1.95508481</v>
      </c>
      <c r="O343">
        <v>0.99491686499999998</v>
      </c>
      <c r="P343" t="b">
        <v>0</v>
      </c>
      <c r="Q343">
        <v>0.99713818499999995</v>
      </c>
      <c r="R343" s="2">
        <v>1</v>
      </c>
      <c r="S343" s="2" t="str">
        <f t="shared" si="21"/>
        <v>Dec</v>
      </c>
      <c r="T343">
        <f t="shared" si="22"/>
        <v>2025</v>
      </c>
      <c r="U343" s="2" t="str">
        <f t="shared" si="23"/>
        <v>Q4</v>
      </c>
      <c r="V343" t="str">
        <f t="shared" si="24"/>
        <v>Completed</v>
      </c>
    </row>
    <row r="344" spans="1:22" x14ac:dyDescent="0.3">
      <c r="A344" s="2">
        <v>343</v>
      </c>
      <c r="B344" s="1">
        <v>46000</v>
      </c>
      <c r="C344" s="2" t="s">
        <v>18</v>
      </c>
      <c r="D344">
        <v>3292</v>
      </c>
      <c r="E344">
        <v>2926</v>
      </c>
      <c r="F344">
        <v>1418</v>
      </c>
      <c r="G344">
        <v>4543</v>
      </c>
      <c r="H344">
        <v>3736</v>
      </c>
      <c r="I344">
        <v>0.74974494300000005</v>
      </c>
      <c r="J344">
        <v>2.1536109460000001</v>
      </c>
      <c r="K344">
        <v>4659</v>
      </c>
      <c r="L344">
        <v>1942</v>
      </c>
      <c r="M344" s="2">
        <v>3</v>
      </c>
      <c r="N344">
        <v>1.790580826</v>
      </c>
      <c r="O344">
        <v>0.882260826</v>
      </c>
      <c r="P344" t="b">
        <v>0</v>
      </c>
      <c r="Q344">
        <v>0.65126737499999998</v>
      </c>
      <c r="R344" s="2">
        <v>1</v>
      </c>
      <c r="S344" s="2" t="str">
        <f t="shared" si="21"/>
        <v>Dec</v>
      </c>
      <c r="T344">
        <f t="shared" si="22"/>
        <v>2025</v>
      </c>
      <c r="U344" s="2" t="str">
        <f t="shared" si="23"/>
        <v>Q4</v>
      </c>
      <c r="V344" t="str">
        <f t="shared" si="24"/>
        <v>Completed</v>
      </c>
    </row>
    <row r="345" spans="1:22" x14ac:dyDescent="0.3">
      <c r="A345" s="2">
        <v>344</v>
      </c>
      <c r="B345" s="1">
        <v>46001</v>
      </c>
      <c r="C345" s="2" t="s">
        <v>16</v>
      </c>
      <c r="D345">
        <v>4770</v>
      </c>
      <c r="E345">
        <v>886</v>
      </c>
      <c r="F345">
        <v>3352</v>
      </c>
      <c r="G345">
        <v>1391</v>
      </c>
      <c r="H345">
        <v>3716</v>
      </c>
      <c r="I345">
        <v>0.64215134600000001</v>
      </c>
      <c r="J345">
        <v>1.587732111</v>
      </c>
      <c r="K345">
        <v>1825</v>
      </c>
      <c r="L345">
        <v>3747</v>
      </c>
      <c r="M345" s="2">
        <v>9</v>
      </c>
      <c r="N345">
        <v>1.8970408050000001</v>
      </c>
      <c r="O345">
        <v>0.96066798799999997</v>
      </c>
      <c r="P345" t="b">
        <v>0</v>
      </c>
      <c r="Q345">
        <v>0.95339329500000003</v>
      </c>
      <c r="R345" s="2">
        <v>1</v>
      </c>
      <c r="S345" s="2" t="str">
        <f t="shared" si="21"/>
        <v>Dec</v>
      </c>
      <c r="T345">
        <f t="shared" si="22"/>
        <v>2025</v>
      </c>
      <c r="U345" s="2" t="str">
        <f t="shared" si="23"/>
        <v>Q4</v>
      </c>
      <c r="V345" t="str">
        <f t="shared" si="24"/>
        <v>Completed</v>
      </c>
    </row>
    <row r="346" spans="1:22" x14ac:dyDescent="0.3">
      <c r="A346" s="2">
        <v>345</v>
      </c>
      <c r="B346" s="1">
        <v>46002</v>
      </c>
      <c r="C346" s="2" t="s">
        <v>17</v>
      </c>
      <c r="D346">
        <v>2203</v>
      </c>
      <c r="E346">
        <v>3236</v>
      </c>
      <c r="F346">
        <v>1615</v>
      </c>
      <c r="G346">
        <v>1408</v>
      </c>
      <c r="H346">
        <v>163</v>
      </c>
      <c r="I346">
        <v>0.679901278</v>
      </c>
      <c r="J346">
        <v>1.160727858</v>
      </c>
      <c r="K346">
        <v>2043</v>
      </c>
      <c r="L346">
        <v>3320</v>
      </c>
      <c r="M346" s="2">
        <v>7</v>
      </c>
      <c r="N346">
        <v>1.868768931</v>
      </c>
      <c r="O346">
        <v>0.81639948600000001</v>
      </c>
      <c r="P346" t="b">
        <v>0</v>
      </c>
      <c r="Q346">
        <v>0.42865903500000002</v>
      </c>
      <c r="R346" s="2">
        <v>1</v>
      </c>
      <c r="S346" s="2" t="str">
        <f t="shared" si="21"/>
        <v>Dec</v>
      </c>
      <c r="T346">
        <f t="shared" si="22"/>
        <v>2025</v>
      </c>
      <c r="U346" s="2" t="str">
        <f t="shared" si="23"/>
        <v>Q4</v>
      </c>
      <c r="V346" t="str">
        <f t="shared" si="24"/>
        <v>Completed</v>
      </c>
    </row>
    <row r="347" spans="1:22" x14ac:dyDescent="0.3">
      <c r="A347" s="2">
        <v>346</v>
      </c>
      <c r="B347" s="1">
        <v>46003</v>
      </c>
      <c r="C347" s="2" t="s">
        <v>5</v>
      </c>
      <c r="D347">
        <v>4865</v>
      </c>
      <c r="E347">
        <v>3059</v>
      </c>
      <c r="F347">
        <v>2722</v>
      </c>
      <c r="G347">
        <v>1831</v>
      </c>
      <c r="H347">
        <v>2253</v>
      </c>
      <c r="I347">
        <v>0.67894089400000002</v>
      </c>
      <c r="J347">
        <v>0.65942498400000005</v>
      </c>
      <c r="K347">
        <v>3509</v>
      </c>
      <c r="L347">
        <v>286</v>
      </c>
      <c r="M347" s="2">
        <v>2</v>
      </c>
      <c r="N347">
        <v>0.84685629600000001</v>
      </c>
      <c r="O347">
        <v>0.96399869800000004</v>
      </c>
      <c r="P347" t="b">
        <v>0</v>
      </c>
      <c r="Q347">
        <v>0.97281275599999995</v>
      </c>
      <c r="R347" s="2">
        <v>1</v>
      </c>
      <c r="S347" s="2" t="str">
        <f t="shared" si="21"/>
        <v>Dec</v>
      </c>
      <c r="T347">
        <f t="shared" si="22"/>
        <v>2025</v>
      </c>
      <c r="U347" s="2" t="str">
        <f t="shared" si="23"/>
        <v>Q4</v>
      </c>
      <c r="V347" t="str">
        <f t="shared" si="24"/>
        <v>Completed</v>
      </c>
    </row>
    <row r="348" spans="1:22" x14ac:dyDescent="0.3">
      <c r="A348" s="2">
        <v>347</v>
      </c>
      <c r="B348" s="1">
        <v>46004</v>
      </c>
      <c r="C348" s="2" t="s">
        <v>18</v>
      </c>
      <c r="D348">
        <v>4763</v>
      </c>
      <c r="E348">
        <v>915</v>
      </c>
      <c r="F348">
        <v>1246</v>
      </c>
      <c r="G348">
        <v>1147</v>
      </c>
      <c r="H348">
        <v>3011</v>
      </c>
      <c r="I348">
        <v>0.76430564300000003</v>
      </c>
      <c r="J348">
        <v>1.048171645</v>
      </c>
      <c r="K348">
        <v>2802</v>
      </c>
      <c r="L348">
        <v>3062</v>
      </c>
      <c r="M348" s="2">
        <v>8</v>
      </c>
      <c r="N348">
        <v>0.50006626899999995</v>
      </c>
      <c r="O348">
        <v>0.96751747799999999</v>
      </c>
      <c r="P348" t="b">
        <v>0</v>
      </c>
      <c r="Q348">
        <v>0.95196238799999999</v>
      </c>
      <c r="R348" s="2">
        <v>1</v>
      </c>
      <c r="S348" s="2" t="str">
        <f t="shared" si="21"/>
        <v>Dec</v>
      </c>
      <c r="T348">
        <f t="shared" si="22"/>
        <v>2025</v>
      </c>
      <c r="U348" s="2" t="str">
        <f t="shared" si="23"/>
        <v>Q4</v>
      </c>
      <c r="V348" t="str">
        <f t="shared" si="24"/>
        <v>Completed</v>
      </c>
    </row>
    <row r="349" spans="1:22" x14ac:dyDescent="0.3">
      <c r="A349" s="2">
        <v>348</v>
      </c>
      <c r="B349" s="1">
        <v>46005</v>
      </c>
      <c r="C349" s="2" t="s">
        <v>18</v>
      </c>
      <c r="D349">
        <v>2009</v>
      </c>
      <c r="E349">
        <v>3575</v>
      </c>
      <c r="F349">
        <v>2922</v>
      </c>
      <c r="G349">
        <v>2538</v>
      </c>
      <c r="H349">
        <v>476</v>
      </c>
      <c r="I349">
        <v>0.40782825299999997</v>
      </c>
      <c r="J349">
        <v>1.0514930549999999</v>
      </c>
      <c r="K349">
        <v>491</v>
      </c>
      <c r="L349">
        <v>779</v>
      </c>
      <c r="M349" s="2">
        <v>2</v>
      </c>
      <c r="N349">
        <v>1.025439371</v>
      </c>
      <c r="O349">
        <v>0.829160275</v>
      </c>
      <c r="P349" t="b">
        <v>1</v>
      </c>
      <c r="Q349">
        <v>0.38900245300000003</v>
      </c>
      <c r="R349" s="2">
        <v>1</v>
      </c>
      <c r="S349" s="2" t="str">
        <f t="shared" si="21"/>
        <v>Dec</v>
      </c>
      <c r="T349">
        <f t="shared" si="22"/>
        <v>2025</v>
      </c>
      <c r="U349" s="2" t="str">
        <f t="shared" si="23"/>
        <v>Q4</v>
      </c>
      <c r="V349" t="str">
        <f t="shared" si="24"/>
        <v>Completed</v>
      </c>
    </row>
    <row r="350" spans="1:22" x14ac:dyDescent="0.3">
      <c r="A350" s="2">
        <v>349</v>
      </c>
      <c r="B350" s="1">
        <v>46006</v>
      </c>
      <c r="C350" s="2" t="s">
        <v>16</v>
      </c>
      <c r="D350">
        <v>432</v>
      </c>
      <c r="E350">
        <v>4311</v>
      </c>
      <c r="F350">
        <v>1266</v>
      </c>
      <c r="G350">
        <v>485</v>
      </c>
      <c r="H350">
        <v>3199</v>
      </c>
      <c r="I350">
        <v>0.498649803</v>
      </c>
      <c r="J350">
        <v>0.94692950099999995</v>
      </c>
      <c r="K350">
        <v>2463</v>
      </c>
      <c r="L350">
        <v>1930</v>
      </c>
      <c r="M350" s="2">
        <v>1</v>
      </c>
      <c r="N350">
        <v>1.801334137</v>
      </c>
      <c r="O350">
        <v>0.86069233099999998</v>
      </c>
      <c r="P350" t="b">
        <v>0</v>
      </c>
      <c r="Q350">
        <v>6.6639410999999996E-2</v>
      </c>
      <c r="R350" s="2">
        <v>1</v>
      </c>
      <c r="S350" s="2" t="str">
        <f t="shared" si="21"/>
        <v>Dec</v>
      </c>
      <c r="T350">
        <f t="shared" si="22"/>
        <v>2025</v>
      </c>
      <c r="U350" s="2" t="str">
        <f t="shared" si="23"/>
        <v>Q4</v>
      </c>
      <c r="V350" t="str">
        <f t="shared" si="24"/>
        <v>Completed</v>
      </c>
    </row>
    <row r="351" spans="1:22" x14ac:dyDescent="0.3">
      <c r="A351" s="2">
        <v>350</v>
      </c>
      <c r="B351" s="1">
        <v>46007</v>
      </c>
      <c r="C351" s="2" t="s">
        <v>16</v>
      </c>
      <c r="D351">
        <v>4995</v>
      </c>
      <c r="E351">
        <v>3601</v>
      </c>
      <c r="F351">
        <v>3988</v>
      </c>
      <c r="G351">
        <v>4600</v>
      </c>
      <c r="H351">
        <v>2151</v>
      </c>
      <c r="I351">
        <v>0.57961458200000004</v>
      </c>
      <c r="J351">
        <v>2.9730633690000001</v>
      </c>
      <c r="K351">
        <v>3478</v>
      </c>
      <c r="L351">
        <v>710</v>
      </c>
      <c r="M351" s="2">
        <v>8</v>
      </c>
      <c r="N351">
        <v>1.4398434659999999</v>
      </c>
      <c r="O351">
        <v>0.80226592500000005</v>
      </c>
      <c r="P351" t="b">
        <v>1</v>
      </c>
      <c r="Q351">
        <v>0.99938675399999999</v>
      </c>
      <c r="R351" s="2">
        <v>1</v>
      </c>
      <c r="S351" s="2" t="str">
        <f t="shared" si="21"/>
        <v>Dec</v>
      </c>
      <c r="T351">
        <f t="shared" si="22"/>
        <v>2025</v>
      </c>
      <c r="U351" s="2" t="str">
        <f t="shared" si="23"/>
        <v>Q4</v>
      </c>
      <c r="V351" t="str">
        <f t="shared" si="24"/>
        <v>Completed</v>
      </c>
    </row>
    <row r="352" spans="1:22" x14ac:dyDescent="0.3">
      <c r="A352" s="2">
        <v>351</v>
      </c>
      <c r="B352" s="1">
        <v>46008</v>
      </c>
      <c r="C352" s="2" t="s">
        <v>5</v>
      </c>
      <c r="D352">
        <v>3663</v>
      </c>
      <c r="E352">
        <v>2705</v>
      </c>
      <c r="F352">
        <v>3489</v>
      </c>
      <c r="G352">
        <v>2409</v>
      </c>
      <c r="H352">
        <v>3003</v>
      </c>
      <c r="I352">
        <v>0.66743131</v>
      </c>
      <c r="J352">
        <v>2.7904472880000002</v>
      </c>
      <c r="K352">
        <v>2269</v>
      </c>
      <c r="L352">
        <v>2528</v>
      </c>
      <c r="M352" s="2">
        <v>4</v>
      </c>
      <c r="N352">
        <v>1.0265940389999999</v>
      </c>
      <c r="O352">
        <v>0.84716649200000005</v>
      </c>
      <c r="P352" t="b">
        <v>0</v>
      </c>
      <c r="Q352">
        <v>0.72710547800000003</v>
      </c>
      <c r="R352" s="2">
        <v>1</v>
      </c>
      <c r="S352" s="2" t="str">
        <f t="shared" si="21"/>
        <v>Dec</v>
      </c>
      <c r="T352">
        <f t="shared" si="22"/>
        <v>2025</v>
      </c>
      <c r="U352" s="2" t="str">
        <f t="shared" si="23"/>
        <v>Q4</v>
      </c>
      <c r="V352" t="str">
        <f t="shared" si="24"/>
        <v>Completed</v>
      </c>
    </row>
    <row r="353" spans="1:22" x14ac:dyDescent="0.3">
      <c r="A353" s="2">
        <v>352</v>
      </c>
      <c r="B353" s="1">
        <v>46009</v>
      </c>
      <c r="C353" s="2" t="s">
        <v>17</v>
      </c>
      <c r="D353">
        <v>604</v>
      </c>
      <c r="E353">
        <v>3247</v>
      </c>
      <c r="F353">
        <v>2719</v>
      </c>
      <c r="G353">
        <v>631</v>
      </c>
      <c r="H353">
        <v>2714</v>
      </c>
      <c r="I353">
        <v>0.60085508300000001</v>
      </c>
      <c r="J353">
        <v>1.6969974889999999</v>
      </c>
      <c r="K353">
        <v>896</v>
      </c>
      <c r="L353">
        <v>3480</v>
      </c>
      <c r="M353" s="2">
        <v>6</v>
      </c>
      <c r="N353">
        <v>1.0569214929999999</v>
      </c>
      <c r="O353">
        <v>0.881123989</v>
      </c>
      <c r="P353" t="b">
        <v>0</v>
      </c>
      <c r="Q353">
        <v>0.10179885499999999</v>
      </c>
      <c r="R353" s="2">
        <v>1</v>
      </c>
      <c r="S353" s="2" t="str">
        <f t="shared" si="21"/>
        <v>Dec</v>
      </c>
      <c r="T353">
        <f t="shared" si="22"/>
        <v>2025</v>
      </c>
      <c r="U353" s="2" t="str">
        <f t="shared" si="23"/>
        <v>Q4</v>
      </c>
      <c r="V353" t="str">
        <f t="shared" si="24"/>
        <v>Completed</v>
      </c>
    </row>
    <row r="354" spans="1:22" x14ac:dyDescent="0.3">
      <c r="A354" s="2">
        <v>353</v>
      </c>
      <c r="B354" s="1">
        <v>46010</v>
      </c>
      <c r="C354" s="2" t="s">
        <v>5</v>
      </c>
      <c r="D354">
        <v>3815</v>
      </c>
      <c r="E354">
        <v>3187</v>
      </c>
      <c r="F354">
        <v>2027</v>
      </c>
      <c r="G354">
        <v>2830</v>
      </c>
      <c r="H354">
        <v>1028</v>
      </c>
      <c r="I354">
        <v>0.34374308199999998</v>
      </c>
      <c r="J354">
        <v>0.80354002400000002</v>
      </c>
      <c r="K354">
        <v>3889</v>
      </c>
      <c r="L354">
        <v>1201</v>
      </c>
      <c r="M354" s="2">
        <v>8</v>
      </c>
      <c r="N354">
        <v>1.652260753</v>
      </c>
      <c r="O354">
        <v>0.98745703900000004</v>
      </c>
      <c r="P354" t="b">
        <v>0</v>
      </c>
      <c r="Q354">
        <v>0.758176615</v>
      </c>
      <c r="R354" s="2">
        <v>1</v>
      </c>
      <c r="S354" s="2" t="str">
        <f t="shared" si="21"/>
        <v>Dec</v>
      </c>
      <c r="T354">
        <f t="shared" si="22"/>
        <v>2025</v>
      </c>
      <c r="U354" s="2" t="str">
        <f t="shared" si="23"/>
        <v>Q4</v>
      </c>
      <c r="V354" t="str">
        <f t="shared" si="24"/>
        <v>Completed</v>
      </c>
    </row>
    <row r="355" spans="1:22" x14ac:dyDescent="0.3">
      <c r="A355" s="2">
        <v>354</v>
      </c>
      <c r="B355" s="1">
        <v>46011</v>
      </c>
      <c r="C355" s="2" t="s">
        <v>18</v>
      </c>
      <c r="D355">
        <v>1709</v>
      </c>
      <c r="E355">
        <v>2062</v>
      </c>
      <c r="F355">
        <v>2707</v>
      </c>
      <c r="G355">
        <v>4014</v>
      </c>
      <c r="H355">
        <v>3722</v>
      </c>
      <c r="I355">
        <v>0.48718321199999998</v>
      </c>
      <c r="J355">
        <v>1.218172166</v>
      </c>
      <c r="K355">
        <v>1579</v>
      </c>
      <c r="L355">
        <v>3927</v>
      </c>
      <c r="M355" s="2">
        <v>2</v>
      </c>
      <c r="N355">
        <v>1.0570227489999999</v>
      </c>
      <c r="O355">
        <v>0.831628217</v>
      </c>
      <c r="P355" t="b">
        <v>0</v>
      </c>
      <c r="Q355">
        <v>0.32767784100000003</v>
      </c>
      <c r="R355" s="2">
        <v>1</v>
      </c>
      <c r="S355" s="2" t="str">
        <f t="shared" si="21"/>
        <v>Dec</v>
      </c>
      <c r="T355">
        <f t="shared" si="22"/>
        <v>2025</v>
      </c>
      <c r="U355" s="2" t="str">
        <f t="shared" si="23"/>
        <v>Q4</v>
      </c>
      <c r="V355" t="str">
        <f t="shared" si="24"/>
        <v>Completed</v>
      </c>
    </row>
    <row r="356" spans="1:22" x14ac:dyDescent="0.3">
      <c r="A356" s="2">
        <v>355</v>
      </c>
      <c r="B356" s="1">
        <v>46012</v>
      </c>
      <c r="C356" s="2" t="s">
        <v>18</v>
      </c>
      <c r="D356">
        <v>1552</v>
      </c>
      <c r="E356">
        <v>1158</v>
      </c>
      <c r="F356">
        <v>469</v>
      </c>
      <c r="G356">
        <v>3339</v>
      </c>
      <c r="H356">
        <v>3536</v>
      </c>
      <c r="I356">
        <v>0.40649513399999998</v>
      </c>
      <c r="J356">
        <v>2.5249239239999999</v>
      </c>
      <c r="K356">
        <v>2855</v>
      </c>
      <c r="L356">
        <v>1283</v>
      </c>
      <c r="M356" s="2">
        <v>1</v>
      </c>
      <c r="N356">
        <v>0.63364154100000003</v>
      </c>
      <c r="O356">
        <v>0.98257982499999996</v>
      </c>
      <c r="P356" t="b">
        <v>0</v>
      </c>
      <c r="Q356">
        <v>0.29558462800000002</v>
      </c>
      <c r="R356" s="2">
        <v>1</v>
      </c>
      <c r="S356" s="2" t="str">
        <f t="shared" si="21"/>
        <v>Dec</v>
      </c>
      <c r="T356">
        <f t="shared" si="22"/>
        <v>2025</v>
      </c>
      <c r="U356" s="2" t="str">
        <f t="shared" si="23"/>
        <v>Q4</v>
      </c>
      <c r="V356" t="str">
        <f t="shared" si="24"/>
        <v>Completed</v>
      </c>
    </row>
    <row r="357" spans="1:22" x14ac:dyDescent="0.3">
      <c r="A357" s="2">
        <v>356</v>
      </c>
      <c r="B357" s="1">
        <v>46013</v>
      </c>
      <c r="C357" s="2" t="s">
        <v>5</v>
      </c>
      <c r="D357">
        <v>2978</v>
      </c>
      <c r="E357">
        <v>1270</v>
      </c>
      <c r="F357">
        <v>3492</v>
      </c>
      <c r="G357">
        <v>476</v>
      </c>
      <c r="H357">
        <v>2308</v>
      </c>
      <c r="I357">
        <v>0.248454182</v>
      </c>
      <c r="J357">
        <v>1.72567062</v>
      </c>
      <c r="K357">
        <v>4503</v>
      </c>
      <c r="L357">
        <v>2004</v>
      </c>
      <c r="M357" s="2">
        <v>8</v>
      </c>
      <c r="N357">
        <v>0.96114431300000003</v>
      </c>
      <c r="O357">
        <v>0.81939485199999995</v>
      </c>
      <c r="P357" t="b">
        <v>0</v>
      </c>
      <c r="Q357">
        <v>0.58708094799999999</v>
      </c>
      <c r="R357" s="2">
        <v>1</v>
      </c>
      <c r="S357" s="2" t="str">
        <f t="shared" si="21"/>
        <v>Dec</v>
      </c>
      <c r="T357">
        <f t="shared" si="22"/>
        <v>2025</v>
      </c>
      <c r="U357" s="2" t="str">
        <f t="shared" si="23"/>
        <v>Q4</v>
      </c>
      <c r="V357" t="str">
        <f t="shared" si="24"/>
        <v>Completed</v>
      </c>
    </row>
    <row r="358" spans="1:22" x14ac:dyDescent="0.3">
      <c r="A358" s="2">
        <v>357</v>
      </c>
      <c r="B358" s="1">
        <v>46014</v>
      </c>
      <c r="C358" s="2" t="s">
        <v>18</v>
      </c>
      <c r="D358">
        <v>3157</v>
      </c>
      <c r="E358">
        <v>2057</v>
      </c>
      <c r="F358">
        <v>355</v>
      </c>
      <c r="G358">
        <v>540</v>
      </c>
      <c r="H358">
        <v>860</v>
      </c>
      <c r="I358">
        <v>0.72084013300000005</v>
      </c>
      <c r="J358">
        <v>2.2607962380000002</v>
      </c>
      <c r="K358">
        <v>1563</v>
      </c>
      <c r="L358">
        <v>377</v>
      </c>
      <c r="M358" s="2">
        <v>8</v>
      </c>
      <c r="N358">
        <v>1.0679961149999999</v>
      </c>
      <c r="O358">
        <v>0.98858200100000004</v>
      </c>
      <c r="P358" t="b">
        <v>0</v>
      </c>
      <c r="Q358">
        <v>0.62367130000000004</v>
      </c>
      <c r="R358" s="2">
        <v>1</v>
      </c>
      <c r="S358" s="2" t="str">
        <f t="shared" si="21"/>
        <v>Dec</v>
      </c>
      <c r="T358">
        <f t="shared" si="22"/>
        <v>2025</v>
      </c>
      <c r="U358" s="2" t="str">
        <f t="shared" si="23"/>
        <v>Q4</v>
      </c>
      <c r="V358" t="str">
        <f t="shared" si="24"/>
        <v>Completed</v>
      </c>
    </row>
    <row r="359" spans="1:22" x14ac:dyDescent="0.3">
      <c r="A359" s="2">
        <v>358</v>
      </c>
      <c r="B359" s="1">
        <v>46015</v>
      </c>
      <c r="C359" s="2" t="s">
        <v>16</v>
      </c>
      <c r="D359">
        <v>797</v>
      </c>
      <c r="E359">
        <v>3241</v>
      </c>
      <c r="F359">
        <v>3216</v>
      </c>
      <c r="G359">
        <v>373</v>
      </c>
      <c r="H359">
        <v>798</v>
      </c>
      <c r="I359">
        <v>0.775912559</v>
      </c>
      <c r="J359">
        <v>2.1165426279999999</v>
      </c>
      <c r="K359">
        <v>3260</v>
      </c>
      <c r="L359">
        <v>2408</v>
      </c>
      <c r="M359" s="2">
        <v>2</v>
      </c>
      <c r="N359">
        <v>1.0544671430000001</v>
      </c>
      <c r="O359">
        <v>0.86600840099999998</v>
      </c>
      <c r="P359" t="b">
        <v>0</v>
      </c>
      <c r="Q359">
        <v>0.141251022</v>
      </c>
      <c r="R359" s="2">
        <v>1</v>
      </c>
      <c r="S359" s="2" t="str">
        <f t="shared" si="21"/>
        <v>Dec</v>
      </c>
      <c r="T359">
        <f t="shared" si="22"/>
        <v>2025</v>
      </c>
      <c r="U359" s="2" t="str">
        <f t="shared" si="23"/>
        <v>Q4</v>
      </c>
      <c r="V359" t="str">
        <f t="shared" si="24"/>
        <v>Completed</v>
      </c>
    </row>
    <row r="360" spans="1:22" x14ac:dyDescent="0.3">
      <c r="A360" s="2">
        <v>359</v>
      </c>
      <c r="B360" s="1">
        <v>46016</v>
      </c>
      <c r="C360" s="2" t="s">
        <v>16</v>
      </c>
      <c r="D360">
        <v>2981</v>
      </c>
      <c r="E360">
        <v>3076</v>
      </c>
      <c r="F360">
        <v>1788</v>
      </c>
      <c r="G360">
        <v>2739</v>
      </c>
      <c r="H360">
        <v>1226</v>
      </c>
      <c r="I360">
        <v>0.25689451000000002</v>
      </c>
      <c r="J360">
        <v>1.2497934749999999</v>
      </c>
      <c r="K360">
        <v>4257</v>
      </c>
      <c r="L360">
        <v>1844</v>
      </c>
      <c r="M360" s="2">
        <v>5</v>
      </c>
      <c r="N360">
        <v>0.55540104800000001</v>
      </c>
      <c r="O360">
        <v>0.98093622999999996</v>
      </c>
      <c r="P360" t="b">
        <v>0</v>
      </c>
      <c r="Q360">
        <v>0.58769419499999997</v>
      </c>
      <c r="R360" s="2">
        <v>1</v>
      </c>
      <c r="S360" s="2" t="str">
        <f t="shared" si="21"/>
        <v>Dec</v>
      </c>
      <c r="T360">
        <f t="shared" si="22"/>
        <v>2025</v>
      </c>
      <c r="U360" s="2" t="str">
        <f t="shared" si="23"/>
        <v>Q4</v>
      </c>
      <c r="V360" t="str">
        <f t="shared" si="24"/>
        <v>Completed</v>
      </c>
    </row>
    <row r="361" spans="1:22" x14ac:dyDescent="0.3">
      <c r="A361" s="2">
        <v>360</v>
      </c>
      <c r="B361" s="1">
        <v>46017</v>
      </c>
      <c r="C361" s="2" t="s">
        <v>18</v>
      </c>
      <c r="D361">
        <v>1560</v>
      </c>
      <c r="E361">
        <v>2261</v>
      </c>
      <c r="F361">
        <v>482</v>
      </c>
      <c r="G361">
        <v>1426</v>
      </c>
      <c r="H361">
        <v>827</v>
      </c>
      <c r="I361">
        <v>0.77796957600000005</v>
      </c>
      <c r="J361">
        <v>2.5883659649999999</v>
      </c>
      <c r="K361">
        <v>1839</v>
      </c>
      <c r="L361">
        <v>1576</v>
      </c>
      <c r="M361" s="2">
        <v>2</v>
      </c>
      <c r="N361">
        <v>1.0460217270000001</v>
      </c>
      <c r="O361">
        <v>0.91021676200000001</v>
      </c>
      <c r="P361" t="b">
        <v>0</v>
      </c>
      <c r="Q361">
        <v>0.29721995099999998</v>
      </c>
      <c r="R361" s="2">
        <v>1</v>
      </c>
      <c r="S361" s="2" t="str">
        <f t="shared" si="21"/>
        <v>Dec</v>
      </c>
      <c r="T361">
        <f t="shared" si="22"/>
        <v>2025</v>
      </c>
      <c r="U361" s="2" t="str">
        <f t="shared" si="23"/>
        <v>Q4</v>
      </c>
      <c r="V361" t="str">
        <f t="shared" si="24"/>
        <v>Completed</v>
      </c>
    </row>
    <row r="362" spans="1:22" x14ac:dyDescent="0.3">
      <c r="A362" s="2">
        <v>361</v>
      </c>
      <c r="B362" s="1">
        <v>46018</v>
      </c>
      <c r="C362" s="2" t="s">
        <v>17</v>
      </c>
      <c r="D362">
        <v>4728</v>
      </c>
      <c r="E362">
        <v>3381</v>
      </c>
      <c r="F362">
        <v>3225</v>
      </c>
      <c r="G362">
        <v>4706</v>
      </c>
      <c r="H362">
        <v>2944</v>
      </c>
      <c r="I362">
        <v>0.262675985</v>
      </c>
      <c r="J362">
        <v>1.067827442</v>
      </c>
      <c r="K362">
        <v>643</v>
      </c>
      <c r="L362">
        <v>1259</v>
      </c>
      <c r="M362" s="2">
        <v>2</v>
      </c>
      <c r="N362">
        <v>1.606768677</v>
      </c>
      <c r="O362">
        <v>0.949019324</v>
      </c>
      <c r="P362" t="b">
        <v>0</v>
      </c>
      <c r="Q362">
        <v>0.94480785</v>
      </c>
      <c r="R362" s="2">
        <v>1</v>
      </c>
      <c r="S362" s="2" t="str">
        <f t="shared" si="21"/>
        <v>Dec</v>
      </c>
      <c r="T362">
        <f t="shared" si="22"/>
        <v>2025</v>
      </c>
      <c r="U362" s="2" t="str">
        <f t="shared" si="23"/>
        <v>Q4</v>
      </c>
      <c r="V362" t="str">
        <f t="shared" si="24"/>
        <v>Completed</v>
      </c>
    </row>
    <row r="363" spans="1:22" x14ac:dyDescent="0.3">
      <c r="A363" s="2">
        <v>362</v>
      </c>
      <c r="B363" s="1">
        <v>46019</v>
      </c>
      <c r="C363" s="2" t="s">
        <v>16</v>
      </c>
      <c r="D363">
        <v>1264</v>
      </c>
      <c r="E363">
        <v>593</v>
      </c>
      <c r="F363">
        <v>2913</v>
      </c>
      <c r="G363">
        <v>776</v>
      </c>
      <c r="H363">
        <v>3734</v>
      </c>
      <c r="I363">
        <v>0.39326731399999998</v>
      </c>
      <c r="J363">
        <v>0.92028149000000004</v>
      </c>
      <c r="K363">
        <v>3659</v>
      </c>
      <c r="L363">
        <v>3431</v>
      </c>
      <c r="M363" s="2">
        <v>1</v>
      </c>
      <c r="N363">
        <v>1.5775721060000001</v>
      </c>
      <c r="O363">
        <v>0.87171316899999995</v>
      </c>
      <c r="P363" t="b">
        <v>0</v>
      </c>
      <c r="Q363">
        <v>0.23671300100000001</v>
      </c>
      <c r="R363" s="2">
        <v>1</v>
      </c>
      <c r="S363" s="2" t="str">
        <f t="shared" si="21"/>
        <v>Dec</v>
      </c>
      <c r="T363">
        <f t="shared" si="22"/>
        <v>2025</v>
      </c>
      <c r="U363" s="2" t="str">
        <f t="shared" si="23"/>
        <v>Q4</v>
      </c>
      <c r="V363" t="str">
        <f t="shared" si="24"/>
        <v>Completed</v>
      </c>
    </row>
    <row r="364" spans="1:22" x14ac:dyDescent="0.3">
      <c r="A364" s="2">
        <v>363</v>
      </c>
      <c r="B364" s="1">
        <v>46020</v>
      </c>
      <c r="C364" s="2" t="s">
        <v>17</v>
      </c>
      <c r="D364">
        <v>281</v>
      </c>
      <c r="E364">
        <v>2022</v>
      </c>
      <c r="F364">
        <v>1274</v>
      </c>
      <c r="G364">
        <v>1495</v>
      </c>
      <c r="H364">
        <v>170</v>
      </c>
      <c r="I364">
        <v>0.785562172</v>
      </c>
      <c r="J364">
        <v>0.62225068500000003</v>
      </c>
      <c r="K364">
        <v>4055</v>
      </c>
      <c r="L364">
        <v>1846</v>
      </c>
      <c r="M364" s="2">
        <v>6</v>
      </c>
      <c r="N364">
        <v>1.256934891</v>
      </c>
      <c r="O364">
        <v>0.95041684199999998</v>
      </c>
      <c r="P364" t="b">
        <v>0</v>
      </c>
      <c r="Q364">
        <v>3.5772690000000003E-2</v>
      </c>
      <c r="R364" s="2">
        <v>1</v>
      </c>
      <c r="S364" s="2" t="str">
        <f t="shared" si="21"/>
        <v>Dec</v>
      </c>
      <c r="T364">
        <f t="shared" si="22"/>
        <v>2025</v>
      </c>
      <c r="U364" s="2" t="str">
        <f t="shared" si="23"/>
        <v>Q4</v>
      </c>
      <c r="V364" t="str">
        <f t="shared" si="24"/>
        <v>Completed</v>
      </c>
    </row>
    <row r="365" spans="1:22" x14ac:dyDescent="0.3">
      <c r="A365" s="2">
        <v>364</v>
      </c>
      <c r="B365" s="1">
        <v>46021</v>
      </c>
      <c r="C365" s="2" t="s">
        <v>18</v>
      </c>
      <c r="D365">
        <v>818</v>
      </c>
      <c r="E365">
        <v>4252</v>
      </c>
      <c r="F365">
        <v>2946</v>
      </c>
      <c r="G365">
        <v>4964</v>
      </c>
      <c r="H365">
        <v>1722</v>
      </c>
      <c r="I365">
        <v>0.57884373499999997</v>
      </c>
      <c r="J365">
        <v>2.9257877909999999</v>
      </c>
      <c r="K365">
        <v>2905</v>
      </c>
      <c r="L365">
        <v>3995</v>
      </c>
      <c r="M365" s="2">
        <v>5</v>
      </c>
      <c r="N365">
        <v>1.3120459229999999</v>
      </c>
      <c r="O365">
        <v>0.91667804799999997</v>
      </c>
      <c r="P365" t="b">
        <v>0</v>
      </c>
      <c r="Q365">
        <v>0.145543745</v>
      </c>
      <c r="R365" s="2">
        <v>1</v>
      </c>
      <c r="S365" s="2" t="str">
        <f t="shared" si="21"/>
        <v>Dec</v>
      </c>
      <c r="T365">
        <f t="shared" si="22"/>
        <v>2025</v>
      </c>
      <c r="U365" s="2" t="str">
        <f t="shared" si="23"/>
        <v>Q4</v>
      </c>
      <c r="V365" t="str">
        <f t="shared" si="24"/>
        <v>Completed</v>
      </c>
    </row>
    <row r="366" spans="1:22" x14ac:dyDescent="0.3">
      <c r="A366" s="2">
        <v>365</v>
      </c>
      <c r="B366" s="1">
        <v>46022</v>
      </c>
      <c r="C366" s="2" t="s">
        <v>16</v>
      </c>
      <c r="D366">
        <v>3149</v>
      </c>
      <c r="E366">
        <v>1171</v>
      </c>
      <c r="F366">
        <v>782</v>
      </c>
      <c r="G366">
        <v>3408</v>
      </c>
      <c r="H366">
        <v>974</v>
      </c>
      <c r="I366">
        <v>0.50462272100000005</v>
      </c>
      <c r="J366">
        <v>1.588239647</v>
      </c>
      <c r="K366">
        <v>4175</v>
      </c>
      <c r="L366">
        <v>741</v>
      </c>
      <c r="M366" s="2">
        <v>2</v>
      </c>
      <c r="N366">
        <v>0.99194929300000001</v>
      </c>
      <c r="O366">
        <v>0.98756304500000003</v>
      </c>
      <c r="P366" t="b">
        <v>0</v>
      </c>
      <c r="Q366">
        <v>0.62203597700000002</v>
      </c>
      <c r="R366" s="2">
        <v>1</v>
      </c>
      <c r="S366" s="2" t="str">
        <f t="shared" si="21"/>
        <v>Dec</v>
      </c>
      <c r="T366">
        <f t="shared" si="22"/>
        <v>2025</v>
      </c>
      <c r="U366" s="2" t="str">
        <f t="shared" si="23"/>
        <v>Q4</v>
      </c>
      <c r="V366" t="str">
        <f t="shared" si="24"/>
        <v>Completed</v>
      </c>
    </row>
    <row r="367" spans="1:22" x14ac:dyDescent="0.3">
      <c r="A367" s="2">
        <v>366</v>
      </c>
      <c r="B367" s="1">
        <v>46023</v>
      </c>
      <c r="C367" s="2" t="s">
        <v>16</v>
      </c>
      <c r="D367">
        <v>2837</v>
      </c>
      <c r="E367">
        <v>4445</v>
      </c>
      <c r="F367">
        <v>3056</v>
      </c>
      <c r="G367">
        <v>2493</v>
      </c>
      <c r="H367">
        <v>349</v>
      </c>
      <c r="I367">
        <v>0.329903528</v>
      </c>
      <c r="J367">
        <v>2.9494669390000001</v>
      </c>
      <c r="K367">
        <v>2245</v>
      </c>
      <c r="L367">
        <v>386</v>
      </c>
      <c r="M367" s="2">
        <v>4</v>
      </c>
      <c r="N367">
        <v>1.0783602379999999</v>
      </c>
      <c r="O367">
        <v>0.85393499699999997</v>
      </c>
      <c r="P367" t="b">
        <v>0</v>
      </c>
      <c r="Q367">
        <v>0.55825838100000003</v>
      </c>
      <c r="R367" s="2">
        <v>1</v>
      </c>
      <c r="S367" s="2" t="str">
        <f t="shared" si="21"/>
        <v>Jan</v>
      </c>
      <c r="T367">
        <f t="shared" si="22"/>
        <v>2026</v>
      </c>
      <c r="U367" s="2" t="str">
        <f t="shared" si="23"/>
        <v>Q1</v>
      </c>
      <c r="V367" t="str">
        <f t="shared" si="24"/>
        <v>Completed</v>
      </c>
    </row>
    <row r="368" spans="1:22" x14ac:dyDescent="0.3">
      <c r="A368" s="2">
        <v>367</v>
      </c>
      <c r="B368" s="1">
        <v>46024</v>
      </c>
      <c r="C368" s="2" t="s">
        <v>18</v>
      </c>
      <c r="D368">
        <v>1635</v>
      </c>
      <c r="E368">
        <v>1425</v>
      </c>
      <c r="F368">
        <v>2365</v>
      </c>
      <c r="G368">
        <v>3200</v>
      </c>
      <c r="H368">
        <v>1860</v>
      </c>
      <c r="I368">
        <v>0.36411117500000001</v>
      </c>
      <c r="J368">
        <v>1.3732479829999999</v>
      </c>
      <c r="K368">
        <v>4722</v>
      </c>
      <c r="L368">
        <v>1987</v>
      </c>
      <c r="M368" s="2">
        <v>7</v>
      </c>
      <c r="N368">
        <v>1.3229816969999999</v>
      </c>
      <c r="O368">
        <v>0.82217519999999999</v>
      </c>
      <c r="P368" t="b">
        <v>0</v>
      </c>
      <c r="Q368">
        <v>0.31255110400000002</v>
      </c>
      <c r="R368" s="2">
        <v>1</v>
      </c>
      <c r="S368" s="2" t="str">
        <f t="shared" si="21"/>
        <v>Jan</v>
      </c>
      <c r="T368">
        <f t="shared" si="22"/>
        <v>2026</v>
      </c>
      <c r="U368" s="2" t="str">
        <f t="shared" si="23"/>
        <v>Q1</v>
      </c>
      <c r="V368" t="str">
        <f t="shared" si="24"/>
        <v>Completed</v>
      </c>
    </row>
    <row r="369" spans="1:22" x14ac:dyDescent="0.3">
      <c r="A369" s="2">
        <v>368</v>
      </c>
      <c r="B369" s="1">
        <v>46025</v>
      </c>
      <c r="C369" s="2" t="s">
        <v>17</v>
      </c>
      <c r="D369">
        <v>4139</v>
      </c>
      <c r="E369">
        <v>2737</v>
      </c>
      <c r="F369">
        <v>2994</v>
      </c>
      <c r="G369">
        <v>4036</v>
      </c>
      <c r="H369">
        <v>855</v>
      </c>
      <c r="I369">
        <v>0.77051527600000003</v>
      </c>
      <c r="J369">
        <v>0.65200135999999997</v>
      </c>
      <c r="K369">
        <v>4838</v>
      </c>
      <c r="L369">
        <v>1085</v>
      </c>
      <c r="M369" s="2">
        <v>8</v>
      </c>
      <c r="N369">
        <v>0.66389794700000004</v>
      </c>
      <c r="O369">
        <v>0.88439829700000006</v>
      </c>
      <c r="P369" t="b">
        <v>0</v>
      </c>
      <c r="Q369">
        <v>0.82440719500000004</v>
      </c>
      <c r="R369" s="2">
        <v>1</v>
      </c>
      <c r="S369" s="2" t="str">
        <f t="shared" si="21"/>
        <v>Jan</v>
      </c>
      <c r="T369">
        <f t="shared" si="22"/>
        <v>2026</v>
      </c>
      <c r="U369" s="2" t="str">
        <f t="shared" si="23"/>
        <v>Q1</v>
      </c>
      <c r="V369" t="str">
        <f t="shared" si="24"/>
        <v>Completed</v>
      </c>
    </row>
    <row r="370" spans="1:22" x14ac:dyDescent="0.3">
      <c r="A370" s="2">
        <v>369</v>
      </c>
      <c r="B370" s="1">
        <v>46026</v>
      </c>
      <c r="C370" s="2" t="s">
        <v>17</v>
      </c>
      <c r="D370">
        <v>4669</v>
      </c>
      <c r="E370">
        <v>4262</v>
      </c>
      <c r="F370">
        <v>2783</v>
      </c>
      <c r="G370">
        <v>2546</v>
      </c>
      <c r="H370">
        <v>3064</v>
      </c>
      <c r="I370">
        <v>0.70316038999999997</v>
      </c>
      <c r="J370">
        <v>0.65331727100000003</v>
      </c>
      <c r="K370">
        <v>3652</v>
      </c>
      <c r="L370">
        <v>3566</v>
      </c>
      <c r="M370" s="2">
        <v>9</v>
      </c>
      <c r="N370">
        <v>1.2160986730000001</v>
      </c>
      <c r="O370">
        <v>0.82785423800000002</v>
      </c>
      <c r="P370" t="b">
        <v>0</v>
      </c>
      <c r="Q370">
        <v>0.93274734299999995</v>
      </c>
      <c r="R370" s="2">
        <v>1</v>
      </c>
      <c r="S370" s="2" t="str">
        <f t="shared" si="21"/>
        <v>Jan</v>
      </c>
      <c r="T370">
        <f t="shared" si="22"/>
        <v>2026</v>
      </c>
      <c r="U370" s="2" t="str">
        <f t="shared" si="23"/>
        <v>Q1</v>
      </c>
      <c r="V370" t="str">
        <f t="shared" si="24"/>
        <v>Completed</v>
      </c>
    </row>
    <row r="371" spans="1:22" x14ac:dyDescent="0.3">
      <c r="A371" s="2">
        <v>370</v>
      </c>
      <c r="B371" s="1">
        <v>46027</v>
      </c>
      <c r="C371" s="2" t="s">
        <v>17</v>
      </c>
      <c r="D371">
        <v>3019</v>
      </c>
      <c r="E371">
        <v>1189</v>
      </c>
      <c r="F371">
        <v>3877</v>
      </c>
      <c r="G371">
        <v>1312</v>
      </c>
      <c r="H371">
        <v>2299</v>
      </c>
      <c r="I371">
        <v>0.67626746299999996</v>
      </c>
      <c r="J371">
        <v>1.0944907349999999</v>
      </c>
      <c r="K371">
        <v>2773</v>
      </c>
      <c r="L371">
        <v>2974</v>
      </c>
      <c r="M371" s="2">
        <v>6</v>
      </c>
      <c r="N371">
        <v>1.2271132979999999</v>
      </c>
      <c r="O371">
        <v>0.90469700799999997</v>
      </c>
      <c r="P371" t="b">
        <v>1</v>
      </c>
      <c r="Q371">
        <v>0.59546197899999997</v>
      </c>
      <c r="R371" s="2">
        <v>1</v>
      </c>
      <c r="S371" s="2" t="str">
        <f t="shared" si="21"/>
        <v>Jan</v>
      </c>
      <c r="T371">
        <f t="shared" si="22"/>
        <v>2026</v>
      </c>
      <c r="U371" s="2" t="str">
        <f t="shared" si="23"/>
        <v>Q1</v>
      </c>
      <c r="V371" t="str">
        <f t="shared" si="24"/>
        <v>Completed</v>
      </c>
    </row>
    <row r="372" spans="1:22" x14ac:dyDescent="0.3">
      <c r="A372" s="2">
        <v>371</v>
      </c>
      <c r="B372" s="1">
        <v>46028</v>
      </c>
      <c r="C372" s="2" t="s">
        <v>17</v>
      </c>
      <c r="D372">
        <v>1236</v>
      </c>
      <c r="E372">
        <v>4048</v>
      </c>
      <c r="F372">
        <v>2327</v>
      </c>
      <c r="G372">
        <v>3082</v>
      </c>
      <c r="H372">
        <v>236</v>
      </c>
      <c r="I372">
        <v>0.44810372799999998</v>
      </c>
      <c r="J372">
        <v>0.69230275200000002</v>
      </c>
      <c r="K372">
        <v>4488</v>
      </c>
      <c r="L372">
        <v>3790</v>
      </c>
      <c r="M372" s="2">
        <v>1</v>
      </c>
      <c r="N372">
        <v>1.4084653970000001</v>
      </c>
      <c r="O372">
        <v>0.81841486500000005</v>
      </c>
      <c r="P372" t="b">
        <v>0</v>
      </c>
      <c r="Q372">
        <v>0.23098937</v>
      </c>
      <c r="R372" s="2">
        <v>1</v>
      </c>
      <c r="S372" s="2" t="str">
        <f t="shared" si="21"/>
        <v>Jan</v>
      </c>
      <c r="T372">
        <f t="shared" si="22"/>
        <v>2026</v>
      </c>
      <c r="U372" s="2" t="str">
        <f t="shared" si="23"/>
        <v>Q1</v>
      </c>
      <c r="V372" t="str">
        <f t="shared" si="24"/>
        <v>Completed</v>
      </c>
    </row>
    <row r="373" spans="1:22" x14ac:dyDescent="0.3">
      <c r="A373" s="2">
        <v>372</v>
      </c>
      <c r="B373" s="1">
        <v>46029</v>
      </c>
      <c r="C373" s="2" t="s">
        <v>5</v>
      </c>
      <c r="D373">
        <v>3983</v>
      </c>
      <c r="E373">
        <v>2956</v>
      </c>
      <c r="F373">
        <v>3844</v>
      </c>
      <c r="G373">
        <v>3009</v>
      </c>
      <c r="H373">
        <v>3521</v>
      </c>
      <c r="I373">
        <v>0.21003206199999999</v>
      </c>
      <c r="J373">
        <v>1.683510472</v>
      </c>
      <c r="K373">
        <v>1757</v>
      </c>
      <c r="L373">
        <v>3092</v>
      </c>
      <c r="M373" s="2">
        <v>3</v>
      </c>
      <c r="N373">
        <v>1.589914008</v>
      </c>
      <c r="O373">
        <v>0.98308068800000004</v>
      </c>
      <c r="P373" t="b">
        <v>0</v>
      </c>
      <c r="Q373">
        <v>0.79251839700000004</v>
      </c>
      <c r="R373" s="2">
        <v>1</v>
      </c>
      <c r="S373" s="2" t="str">
        <f t="shared" si="21"/>
        <v>Jan</v>
      </c>
      <c r="T373">
        <f t="shared" si="22"/>
        <v>2026</v>
      </c>
      <c r="U373" s="2" t="str">
        <f t="shared" si="23"/>
        <v>Q1</v>
      </c>
      <c r="V373" t="str">
        <f t="shared" si="24"/>
        <v>Completed</v>
      </c>
    </row>
    <row r="374" spans="1:22" x14ac:dyDescent="0.3">
      <c r="A374" s="2">
        <v>373</v>
      </c>
      <c r="B374" s="1">
        <v>46030</v>
      </c>
      <c r="C374" s="2" t="s">
        <v>16</v>
      </c>
      <c r="D374">
        <v>1186</v>
      </c>
      <c r="E374">
        <v>3646</v>
      </c>
      <c r="F374">
        <v>3753</v>
      </c>
      <c r="G374">
        <v>1136</v>
      </c>
      <c r="H374">
        <v>3329</v>
      </c>
      <c r="I374">
        <v>0.39122778600000002</v>
      </c>
      <c r="J374">
        <v>2.2479931359999998</v>
      </c>
      <c r="K374">
        <v>1424</v>
      </c>
      <c r="L374">
        <v>1044</v>
      </c>
      <c r="M374" s="2">
        <v>4</v>
      </c>
      <c r="N374">
        <v>1.191016692</v>
      </c>
      <c r="O374">
        <v>0.85743468700000003</v>
      </c>
      <c r="P374" t="b">
        <v>0</v>
      </c>
      <c r="Q374">
        <v>0.22076860200000001</v>
      </c>
      <c r="R374" s="2">
        <v>1</v>
      </c>
      <c r="S374" s="2" t="str">
        <f t="shared" si="21"/>
        <v>Jan</v>
      </c>
      <c r="T374">
        <f t="shared" si="22"/>
        <v>2026</v>
      </c>
      <c r="U374" s="2" t="str">
        <f t="shared" si="23"/>
        <v>Q1</v>
      </c>
      <c r="V374" t="str">
        <f t="shared" si="24"/>
        <v>Completed</v>
      </c>
    </row>
    <row r="375" spans="1:22" x14ac:dyDescent="0.3">
      <c r="A375" s="2">
        <v>374</v>
      </c>
      <c r="B375" s="1">
        <v>46031</v>
      </c>
      <c r="C375" s="2" t="s">
        <v>16</v>
      </c>
      <c r="D375">
        <v>3855</v>
      </c>
      <c r="E375">
        <v>590</v>
      </c>
      <c r="F375">
        <v>918</v>
      </c>
      <c r="G375">
        <v>4138</v>
      </c>
      <c r="H375">
        <v>3009</v>
      </c>
      <c r="I375">
        <v>0.71696558399999999</v>
      </c>
      <c r="J375">
        <v>2.880561353</v>
      </c>
      <c r="K375">
        <v>184</v>
      </c>
      <c r="L375">
        <v>231</v>
      </c>
      <c r="M375" s="2">
        <v>7</v>
      </c>
      <c r="N375">
        <v>1.904254973</v>
      </c>
      <c r="O375">
        <v>0.87459232200000003</v>
      </c>
      <c r="P375" t="b">
        <v>0</v>
      </c>
      <c r="Q375">
        <v>0.76635323</v>
      </c>
      <c r="R375" s="2">
        <v>1</v>
      </c>
      <c r="S375" s="2" t="str">
        <f t="shared" si="21"/>
        <v>Jan</v>
      </c>
      <c r="T375">
        <f t="shared" si="22"/>
        <v>2026</v>
      </c>
      <c r="U375" s="2" t="str">
        <f t="shared" si="23"/>
        <v>Q1</v>
      </c>
      <c r="V375" t="str">
        <f t="shared" si="24"/>
        <v>Completed</v>
      </c>
    </row>
    <row r="376" spans="1:22" x14ac:dyDescent="0.3">
      <c r="A376" s="2">
        <v>375</v>
      </c>
      <c r="B376" s="1">
        <v>46032</v>
      </c>
      <c r="C376" s="2" t="s">
        <v>17</v>
      </c>
      <c r="D376">
        <v>2300</v>
      </c>
      <c r="E376">
        <v>899</v>
      </c>
      <c r="F376">
        <v>1877</v>
      </c>
      <c r="G376">
        <v>1774</v>
      </c>
      <c r="H376">
        <v>2724</v>
      </c>
      <c r="I376">
        <v>0.37940676299999998</v>
      </c>
      <c r="J376">
        <v>1.0491668409999999</v>
      </c>
      <c r="K376">
        <v>3354</v>
      </c>
      <c r="L376">
        <v>927</v>
      </c>
      <c r="M376" s="2">
        <v>1</v>
      </c>
      <c r="N376">
        <v>1.582682135</v>
      </c>
      <c r="O376">
        <v>0.97473558800000004</v>
      </c>
      <c r="P376" t="b">
        <v>0</v>
      </c>
      <c r="Q376">
        <v>0.44848732600000002</v>
      </c>
      <c r="R376" s="2">
        <v>1</v>
      </c>
      <c r="S376" s="2" t="str">
        <f t="shared" si="21"/>
        <v>Jan</v>
      </c>
      <c r="T376">
        <f t="shared" si="22"/>
        <v>2026</v>
      </c>
      <c r="U376" s="2" t="str">
        <f t="shared" si="23"/>
        <v>Q1</v>
      </c>
      <c r="V376" t="str">
        <f t="shared" si="24"/>
        <v>Completed</v>
      </c>
    </row>
    <row r="377" spans="1:22" x14ac:dyDescent="0.3">
      <c r="A377" s="2">
        <v>376</v>
      </c>
      <c r="B377" s="1">
        <v>46033</v>
      </c>
      <c r="C377" s="2" t="s">
        <v>5</v>
      </c>
      <c r="D377">
        <v>816</v>
      </c>
      <c r="E377">
        <v>852</v>
      </c>
      <c r="F377">
        <v>3763</v>
      </c>
      <c r="G377">
        <v>1791</v>
      </c>
      <c r="H377">
        <v>3523</v>
      </c>
      <c r="I377">
        <v>0.53668236800000002</v>
      </c>
      <c r="J377">
        <v>0.90765318500000003</v>
      </c>
      <c r="K377">
        <v>3363</v>
      </c>
      <c r="L377">
        <v>749</v>
      </c>
      <c r="M377" s="2">
        <v>7</v>
      </c>
      <c r="N377">
        <v>1.47379003</v>
      </c>
      <c r="O377">
        <v>0.86276472400000004</v>
      </c>
      <c r="P377" t="b">
        <v>0</v>
      </c>
      <c r="Q377">
        <v>0.145134914</v>
      </c>
      <c r="R377" s="2">
        <v>0</v>
      </c>
      <c r="S377" s="2" t="str">
        <f t="shared" si="21"/>
        <v>Jan</v>
      </c>
      <c r="T377">
        <f t="shared" si="22"/>
        <v>2026</v>
      </c>
      <c r="U377" s="2" t="str">
        <f t="shared" si="23"/>
        <v>Q1</v>
      </c>
      <c r="V377" t="str">
        <f t="shared" si="24"/>
        <v>Completed</v>
      </c>
    </row>
    <row r="378" spans="1:22" x14ac:dyDescent="0.3">
      <c r="A378" s="2">
        <v>377</v>
      </c>
      <c r="B378" s="1">
        <v>46034</v>
      </c>
      <c r="C378" s="2" t="s">
        <v>17</v>
      </c>
      <c r="D378">
        <v>3905</v>
      </c>
      <c r="E378">
        <v>3355</v>
      </c>
      <c r="F378">
        <v>2464</v>
      </c>
      <c r="G378">
        <v>648</v>
      </c>
      <c r="H378">
        <v>3342</v>
      </c>
      <c r="I378">
        <v>0.29263867900000001</v>
      </c>
      <c r="J378">
        <v>2.9748817820000002</v>
      </c>
      <c r="K378">
        <v>1563</v>
      </c>
      <c r="L378">
        <v>1122</v>
      </c>
      <c r="M378" s="2">
        <v>3</v>
      </c>
      <c r="N378">
        <v>1.4536158619999999</v>
      </c>
      <c r="O378">
        <v>0.87667624099999997</v>
      </c>
      <c r="P378" t="b">
        <v>0</v>
      </c>
      <c r="Q378">
        <v>0.77657399800000004</v>
      </c>
      <c r="R378" s="2">
        <v>1</v>
      </c>
      <c r="S378" s="2" t="str">
        <f t="shared" si="21"/>
        <v>Jan</v>
      </c>
      <c r="T378">
        <f t="shared" si="22"/>
        <v>2026</v>
      </c>
      <c r="U378" s="2" t="str">
        <f t="shared" si="23"/>
        <v>Q1</v>
      </c>
      <c r="V378" t="str">
        <f t="shared" si="24"/>
        <v>Failed</v>
      </c>
    </row>
    <row r="379" spans="1:22" x14ac:dyDescent="0.3">
      <c r="A379" s="2">
        <v>378</v>
      </c>
      <c r="B379" s="1">
        <v>46035</v>
      </c>
      <c r="C379" s="2" t="s">
        <v>16</v>
      </c>
      <c r="D379">
        <v>298</v>
      </c>
      <c r="E379">
        <v>3212</v>
      </c>
      <c r="F379">
        <v>1287</v>
      </c>
      <c r="G379">
        <v>2325</v>
      </c>
      <c r="H379">
        <v>2977</v>
      </c>
      <c r="I379">
        <v>0.610781821</v>
      </c>
      <c r="J379">
        <v>1.997927072</v>
      </c>
      <c r="K379">
        <v>801</v>
      </c>
      <c r="L379">
        <v>3540</v>
      </c>
      <c r="M379" s="2">
        <v>7</v>
      </c>
      <c r="N379">
        <v>1.3329483090000001</v>
      </c>
      <c r="O379">
        <v>0.81745925500000005</v>
      </c>
      <c r="P379" t="b">
        <v>0</v>
      </c>
      <c r="Q379">
        <v>3.9247750999999997E-2</v>
      </c>
      <c r="R379" s="2">
        <v>1</v>
      </c>
      <c r="S379" s="2" t="str">
        <f t="shared" si="21"/>
        <v>Jan</v>
      </c>
      <c r="T379">
        <f t="shared" si="22"/>
        <v>2026</v>
      </c>
      <c r="U379" s="2" t="str">
        <f t="shared" si="23"/>
        <v>Q1</v>
      </c>
      <c r="V379" t="str">
        <f t="shared" si="24"/>
        <v>Completed</v>
      </c>
    </row>
    <row r="380" spans="1:22" x14ac:dyDescent="0.3">
      <c r="A380" s="2">
        <v>379</v>
      </c>
      <c r="B380" s="1">
        <v>46036</v>
      </c>
      <c r="C380" s="2" t="s">
        <v>5</v>
      </c>
      <c r="D380">
        <v>443</v>
      </c>
      <c r="E380">
        <v>3106</v>
      </c>
      <c r="F380">
        <v>3134</v>
      </c>
      <c r="G380">
        <v>1070</v>
      </c>
      <c r="H380">
        <v>143</v>
      </c>
      <c r="I380">
        <v>0.73905111199999995</v>
      </c>
      <c r="J380">
        <v>1.456527441</v>
      </c>
      <c r="K380">
        <v>896</v>
      </c>
      <c r="L380">
        <v>2524</v>
      </c>
      <c r="M380" s="2">
        <v>7</v>
      </c>
      <c r="N380">
        <v>0.96668710199999996</v>
      </c>
      <c r="O380">
        <v>0.85880216099999995</v>
      </c>
      <c r="P380" t="b">
        <v>0</v>
      </c>
      <c r="Q380">
        <v>6.8887980000000001E-2</v>
      </c>
      <c r="R380" s="2">
        <v>1</v>
      </c>
      <c r="S380" s="2" t="str">
        <f t="shared" si="21"/>
        <v>Jan</v>
      </c>
      <c r="T380">
        <f t="shared" si="22"/>
        <v>2026</v>
      </c>
      <c r="U380" s="2" t="str">
        <f t="shared" si="23"/>
        <v>Q1</v>
      </c>
      <c r="V380" t="str">
        <f t="shared" si="24"/>
        <v>Completed</v>
      </c>
    </row>
    <row r="381" spans="1:22" x14ac:dyDescent="0.3">
      <c r="A381" s="2">
        <v>380</v>
      </c>
      <c r="B381" s="1">
        <v>46037</v>
      </c>
      <c r="C381" s="2" t="s">
        <v>18</v>
      </c>
      <c r="D381">
        <v>2984</v>
      </c>
      <c r="E381">
        <v>2446</v>
      </c>
      <c r="F381">
        <v>3444</v>
      </c>
      <c r="G381">
        <v>4685</v>
      </c>
      <c r="H381">
        <v>3047</v>
      </c>
      <c r="I381">
        <v>0.67124382400000004</v>
      </c>
      <c r="J381">
        <v>2.7909317819999999</v>
      </c>
      <c r="K381">
        <v>4570</v>
      </c>
      <c r="L381">
        <v>2015</v>
      </c>
      <c r="M381" s="2">
        <v>1</v>
      </c>
      <c r="N381">
        <v>0.58340724600000005</v>
      </c>
      <c r="O381">
        <v>0.80983296299999996</v>
      </c>
      <c r="P381" t="b">
        <v>0</v>
      </c>
      <c r="Q381">
        <v>0.58830744099999999</v>
      </c>
      <c r="R381" s="2">
        <v>1</v>
      </c>
      <c r="S381" s="2" t="str">
        <f t="shared" si="21"/>
        <v>Jan</v>
      </c>
      <c r="T381">
        <f t="shared" si="22"/>
        <v>2026</v>
      </c>
      <c r="U381" s="2" t="str">
        <f t="shared" si="23"/>
        <v>Q1</v>
      </c>
      <c r="V381" t="str">
        <f t="shared" si="24"/>
        <v>Completed</v>
      </c>
    </row>
    <row r="382" spans="1:22" x14ac:dyDescent="0.3">
      <c r="A382" s="2">
        <v>381</v>
      </c>
      <c r="B382" s="1">
        <v>46038</v>
      </c>
      <c r="C382" s="2" t="s">
        <v>16</v>
      </c>
      <c r="D382">
        <v>3961</v>
      </c>
      <c r="E382">
        <v>2023</v>
      </c>
      <c r="F382">
        <v>1167</v>
      </c>
      <c r="G382">
        <v>3820</v>
      </c>
      <c r="H382">
        <v>2811</v>
      </c>
      <c r="I382">
        <v>0.570869772</v>
      </c>
      <c r="J382">
        <v>1.87562531</v>
      </c>
      <c r="K382">
        <v>272</v>
      </c>
      <c r="L382">
        <v>2998</v>
      </c>
      <c r="M382" s="2">
        <v>1</v>
      </c>
      <c r="N382">
        <v>1.890751327</v>
      </c>
      <c r="O382">
        <v>0.983194923</v>
      </c>
      <c r="P382" t="b">
        <v>0</v>
      </c>
      <c r="Q382">
        <v>0.78802125899999997</v>
      </c>
      <c r="R382" s="2">
        <v>1</v>
      </c>
      <c r="S382" s="2" t="str">
        <f t="shared" si="21"/>
        <v>Jan</v>
      </c>
      <c r="T382">
        <f t="shared" si="22"/>
        <v>2026</v>
      </c>
      <c r="U382" s="2" t="str">
        <f t="shared" si="23"/>
        <v>Q1</v>
      </c>
      <c r="V382" t="str">
        <f t="shared" si="24"/>
        <v>Completed</v>
      </c>
    </row>
    <row r="383" spans="1:22" x14ac:dyDescent="0.3">
      <c r="A383" s="2">
        <v>382</v>
      </c>
      <c r="B383" s="1">
        <v>46039</v>
      </c>
      <c r="C383" s="2" t="s">
        <v>5</v>
      </c>
      <c r="D383">
        <v>1186</v>
      </c>
      <c r="E383">
        <v>616</v>
      </c>
      <c r="F383">
        <v>1587</v>
      </c>
      <c r="G383">
        <v>1286</v>
      </c>
      <c r="H383">
        <v>2125</v>
      </c>
      <c r="I383">
        <v>0.46574605499999999</v>
      </c>
      <c r="J383">
        <v>2.5785022980000001</v>
      </c>
      <c r="K383">
        <v>2854</v>
      </c>
      <c r="L383">
        <v>2841</v>
      </c>
      <c r="M383" s="2">
        <v>6</v>
      </c>
      <c r="N383">
        <v>1.734399749</v>
      </c>
      <c r="O383">
        <v>0.89539849800000004</v>
      </c>
      <c r="P383" t="b">
        <v>0</v>
      </c>
      <c r="Q383">
        <v>0.22076860200000001</v>
      </c>
      <c r="R383" s="2">
        <v>1</v>
      </c>
      <c r="S383" s="2" t="str">
        <f t="shared" si="21"/>
        <v>Jan</v>
      </c>
      <c r="T383">
        <f t="shared" si="22"/>
        <v>2026</v>
      </c>
      <c r="U383" s="2" t="str">
        <f t="shared" si="23"/>
        <v>Q1</v>
      </c>
      <c r="V383" t="str">
        <f t="shared" si="24"/>
        <v>Completed</v>
      </c>
    </row>
    <row r="384" spans="1:22" x14ac:dyDescent="0.3">
      <c r="A384" s="2">
        <v>383</v>
      </c>
      <c r="B384" s="1">
        <v>46040</v>
      </c>
      <c r="C384" s="2" t="s">
        <v>17</v>
      </c>
      <c r="D384">
        <v>4402</v>
      </c>
      <c r="E384">
        <v>2930</v>
      </c>
      <c r="F384">
        <v>1871</v>
      </c>
      <c r="G384">
        <v>4122</v>
      </c>
      <c r="H384">
        <v>1015</v>
      </c>
      <c r="I384">
        <v>0.77902322099999999</v>
      </c>
      <c r="J384">
        <v>2.882234339</v>
      </c>
      <c r="K384">
        <v>1928</v>
      </c>
      <c r="L384">
        <v>283</v>
      </c>
      <c r="M384" s="2">
        <v>1</v>
      </c>
      <c r="N384">
        <v>1.121007882</v>
      </c>
      <c r="O384">
        <v>0.82515458900000005</v>
      </c>
      <c r="P384" t="b">
        <v>0</v>
      </c>
      <c r="Q384">
        <v>0.878168438</v>
      </c>
      <c r="R384" s="2">
        <v>1</v>
      </c>
      <c r="S384" s="2" t="str">
        <f t="shared" si="21"/>
        <v>Jan</v>
      </c>
      <c r="T384">
        <f t="shared" si="22"/>
        <v>2026</v>
      </c>
      <c r="U384" s="2" t="str">
        <f t="shared" si="23"/>
        <v>Q1</v>
      </c>
      <c r="V384" t="str">
        <f t="shared" si="24"/>
        <v>Completed</v>
      </c>
    </row>
    <row r="385" spans="1:22" x14ac:dyDescent="0.3">
      <c r="A385" s="2">
        <v>384</v>
      </c>
      <c r="B385" s="1">
        <v>46041</v>
      </c>
      <c r="C385" s="2" t="s">
        <v>17</v>
      </c>
      <c r="D385">
        <v>4870</v>
      </c>
      <c r="E385">
        <v>3696</v>
      </c>
      <c r="F385">
        <v>3410</v>
      </c>
      <c r="G385">
        <v>4871</v>
      </c>
      <c r="H385">
        <v>3503</v>
      </c>
      <c r="I385">
        <v>0.79813352000000004</v>
      </c>
      <c r="J385">
        <v>0.54933992200000004</v>
      </c>
      <c r="K385">
        <v>4457</v>
      </c>
      <c r="L385">
        <v>761</v>
      </c>
      <c r="M385" s="2">
        <v>5</v>
      </c>
      <c r="N385">
        <v>1.2394975539999999</v>
      </c>
      <c r="O385">
        <v>0.95855683999999997</v>
      </c>
      <c r="P385" t="b">
        <v>0</v>
      </c>
      <c r="Q385">
        <v>0.97383483199999998</v>
      </c>
      <c r="R385" s="2">
        <v>1</v>
      </c>
      <c r="S385" s="2" t="str">
        <f t="shared" si="21"/>
        <v>Jan</v>
      </c>
      <c r="T385">
        <f t="shared" si="22"/>
        <v>2026</v>
      </c>
      <c r="U385" s="2" t="str">
        <f t="shared" si="23"/>
        <v>Q1</v>
      </c>
      <c r="V385" t="str">
        <f t="shared" si="24"/>
        <v>Completed</v>
      </c>
    </row>
    <row r="386" spans="1:22" x14ac:dyDescent="0.3">
      <c r="A386" s="2">
        <v>385</v>
      </c>
      <c r="B386" s="1">
        <v>46042</v>
      </c>
      <c r="C386" s="2" t="s">
        <v>18</v>
      </c>
      <c r="D386">
        <v>356</v>
      </c>
      <c r="E386">
        <v>1237</v>
      </c>
      <c r="F386">
        <v>490</v>
      </c>
      <c r="G386">
        <v>379</v>
      </c>
      <c r="H386">
        <v>303</v>
      </c>
      <c r="I386">
        <v>0.59915449899999995</v>
      </c>
      <c r="J386">
        <v>2.2394940239999999</v>
      </c>
      <c r="K386">
        <v>1345</v>
      </c>
      <c r="L386">
        <v>3511</v>
      </c>
      <c r="M386" s="2">
        <v>4</v>
      </c>
      <c r="N386">
        <v>1.207212876</v>
      </c>
      <c r="O386">
        <v>0.83403161699999995</v>
      </c>
      <c r="P386" t="b">
        <v>0</v>
      </c>
      <c r="Q386">
        <v>5.1103843000000003E-2</v>
      </c>
      <c r="R386" s="2">
        <v>1</v>
      </c>
      <c r="S386" s="2" t="str">
        <f t="shared" ref="S386:S449" si="25">TEXT(B386,"MMM")</f>
        <v>Jan</v>
      </c>
      <c r="T386">
        <f t="shared" ref="T386:T449" si="26">YEAR(B386)</f>
        <v>2026</v>
      </c>
      <c r="U386" s="2" t="str">
        <f t="shared" si="23"/>
        <v>Q1</v>
      </c>
      <c r="V386" t="str">
        <f t="shared" si="24"/>
        <v>Completed</v>
      </c>
    </row>
    <row r="387" spans="1:22" x14ac:dyDescent="0.3">
      <c r="A387" s="2">
        <v>386</v>
      </c>
      <c r="B387" s="1">
        <v>46043</v>
      </c>
      <c r="C387" s="2" t="s">
        <v>5</v>
      </c>
      <c r="D387">
        <v>3581</v>
      </c>
      <c r="E387">
        <v>3112</v>
      </c>
      <c r="F387">
        <v>3868</v>
      </c>
      <c r="G387">
        <v>1645</v>
      </c>
      <c r="H387">
        <v>1730</v>
      </c>
      <c r="I387">
        <v>0.215303418</v>
      </c>
      <c r="J387">
        <v>0.60549572500000004</v>
      </c>
      <c r="K387">
        <v>865</v>
      </c>
      <c r="L387">
        <v>2847</v>
      </c>
      <c r="M387" s="2">
        <v>3</v>
      </c>
      <c r="N387">
        <v>1.670155528</v>
      </c>
      <c r="O387">
        <v>0.99558174499999996</v>
      </c>
      <c r="P387" t="b">
        <v>0</v>
      </c>
      <c r="Q387">
        <v>0.710343418</v>
      </c>
      <c r="R387" s="2">
        <v>1</v>
      </c>
      <c r="S387" s="2" t="str">
        <f t="shared" si="25"/>
        <v>Jan</v>
      </c>
      <c r="T387">
        <f t="shared" si="26"/>
        <v>2026</v>
      </c>
      <c r="U387" s="2" t="str">
        <f t="shared" ref="U387:U450" si="27">"Q"&amp;ROUNDUP(MONTH(B387)/3,0)</f>
        <v>Q1</v>
      </c>
      <c r="V387" t="str">
        <f t="shared" si="24"/>
        <v>Completed</v>
      </c>
    </row>
    <row r="388" spans="1:22" x14ac:dyDescent="0.3">
      <c r="A388" s="2">
        <v>387</v>
      </c>
      <c r="B388" s="1">
        <v>46044</v>
      </c>
      <c r="C388" s="2" t="s">
        <v>5</v>
      </c>
      <c r="D388">
        <v>2888</v>
      </c>
      <c r="E388">
        <v>3232</v>
      </c>
      <c r="F388">
        <v>439</v>
      </c>
      <c r="G388">
        <v>1751</v>
      </c>
      <c r="H388">
        <v>1940</v>
      </c>
      <c r="I388">
        <v>0.27074241399999999</v>
      </c>
      <c r="J388">
        <v>2.5246574329999998</v>
      </c>
      <c r="K388">
        <v>3832</v>
      </c>
      <c r="L388">
        <v>1271</v>
      </c>
      <c r="M388" s="2">
        <v>8</v>
      </c>
      <c r="N388">
        <v>0.64179947299999995</v>
      </c>
      <c r="O388">
        <v>0.82144967300000005</v>
      </c>
      <c r="P388" t="b">
        <v>0</v>
      </c>
      <c r="Q388">
        <v>0.56868356499999995</v>
      </c>
      <c r="R388" s="2">
        <v>1</v>
      </c>
      <c r="S388" s="2" t="str">
        <f t="shared" si="25"/>
        <v>Jan</v>
      </c>
      <c r="T388">
        <f t="shared" si="26"/>
        <v>2026</v>
      </c>
      <c r="U388" s="2" t="str">
        <f t="shared" si="27"/>
        <v>Q1</v>
      </c>
      <c r="V388" t="str">
        <f t="shared" ref="V388:V451" si="28">IF(R387=1,"Completed","Failed")</f>
        <v>Completed</v>
      </c>
    </row>
    <row r="389" spans="1:22" x14ac:dyDescent="0.3">
      <c r="A389" s="2">
        <v>388</v>
      </c>
      <c r="B389" s="1">
        <v>46045</v>
      </c>
      <c r="C389" s="2" t="s">
        <v>5</v>
      </c>
      <c r="D389">
        <v>1892</v>
      </c>
      <c r="E389">
        <v>4381</v>
      </c>
      <c r="F389">
        <v>2039</v>
      </c>
      <c r="G389">
        <v>4658</v>
      </c>
      <c r="H389">
        <v>1952</v>
      </c>
      <c r="I389">
        <v>0.67455588700000002</v>
      </c>
      <c r="J389">
        <v>1.087125036</v>
      </c>
      <c r="K389">
        <v>2852</v>
      </c>
      <c r="L389">
        <v>949</v>
      </c>
      <c r="M389" s="2">
        <v>3</v>
      </c>
      <c r="N389">
        <v>0.90417832399999998</v>
      </c>
      <c r="O389">
        <v>0.99901301799999997</v>
      </c>
      <c r="P389" t="b">
        <v>0</v>
      </c>
      <c r="Q389">
        <v>0.36508585399999999</v>
      </c>
      <c r="R389" s="2">
        <v>1</v>
      </c>
      <c r="S389" s="2" t="str">
        <f t="shared" si="25"/>
        <v>Jan</v>
      </c>
      <c r="T389">
        <f t="shared" si="26"/>
        <v>2026</v>
      </c>
      <c r="U389" s="2" t="str">
        <f t="shared" si="27"/>
        <v>Q1</v>
      </c>
      <c r="V389" t="str">
        <f t="shared" si="28"/>
        <v>Completed</v>
      </c>
    </row>
    <row r="390" spans="1:22" x14ac:dyDescent="0.3">
      <c r="A390" s="2">
        <v>389</v>
      </c>
      <c r="B390" s="1">
        <v>46046</v>
      </c>
      <c r="C390" s="2" t="s">
        <v>16</v>
      </c>
      <c r="D390">
        <v>4036</v>
      </c>
      <c r="E390">
        <v>1080</v>
      </c>
      <c r="F390">
        <v>1757</v>
      </c>
      <c r="G390">
        <v>1668</v>
      </c>
      <c r="H390">
        <v>1930</v>
      </c>
      <c r="I390">
        <v>0.68152890099999996</v>
      </c>
      <c r="J390">
        <v>0.56119438799999999</v>
      </c>
      <c r="K390">
        <v>2813</v>
      </c>
      <c r="L390">
        <v>1154</v>
      </c>
      <c r="M390" s="2">
        <v>8</v>
      </c>
      <c r="N390">
        <v>0.58762819600000005</v>
      </c>
      <c r="O390">
        <v>0.99594469600000002</v>
      </c>
      <c r="P390" t="b">
        <v>0</v>
      </c>
      <c r="Q390">
        <v>0.80335241199999996</v>
      </c>
      <c r="R390" s="2">
        <v>1</v>
      </c>
      <c r="S390" s="2" t="str">
        <f t="shared" si="25"/>
        <v>Jan</v>
      </c>
      <c r="T390">
        <f t="shared" si="26"/>
        <v>2026</v>
      </c>
      <c r="U390" s="2" t="str">
        <f t="shared" si="27"/>
        <v>Q1</v>
      </c>
      <c r="V390" t="str">
        <f t="shared" si="28"/>
        <v>Completed</v>
      </c>
    </row>
    <row r="391" spans="1:22" x14ac:dyDescent="0.3">
      <c r="A391" s="2">
        <v>390</v>
      </c>
      <c r="B391" s="1">
        <v>46047</v>
      </c>
      <c r="C391" s="2" t="s">
        <v>5</v>
      </c>
      <c r="D391">
        <v>3557</v>
      </c>
      <c r="E391">
        <v>726</v>
      </c>
      <c r="F391">
        <v>1767</v>
      </c>
      <c r="G391">
        <v>2491</v>
      </c>
      <c r="H391">
        <v>1590</v>
      </c>
      <c r="I391">
        <v>0.70969316999999998</v>
      </c>
      <c r="J391">
        <v>0.87713417100000002</v>
      </c>
      <c r="K391">
        <v>1929</v>
      </c>
      <c r="L391">
        <v>659</v>
      </c>
      <c r="M391" s="2">
        <v>5</v>
      </c>
      <c r="N391">
        <v>1.872746893</v>
      </c>
      <c r="O391">
        <v>0.97011834600000002</v>
      </c>
      <c r="P391" t="b">
        <v>0</v>
      </c>
      <c r="Q391">
        <v>0.70543744900000005</v>
      </c>
      <c r="R391" s="2">
        <v>1</v>
      </c>
      <c r="S391" s="2" t="str">
        <f t="shared" si="25"/>
        <v>Jan</v>
      </c>
      <c r="T391">
        <f t="shared" si="26"/>
        <v>2026</v>
      </c>
      <c r="U391" s="2" t="str">
        <f t="shared" si="27"/>
        <v>Q1</v>
      </c>
      <c r="V391" t="str">
        <f t="shared" si="28"/>
        <v>Completed</v>
      </c>
    </row>
    <row r="392" spans="1:22" x14ac:dyDescent="0.3">
      <c r="A392" s="2">
        <v>391</v>
      </c>
      <c r="B392" s="1">
        <v>46048</v>
      </c>
      <c r="C392" s="2" t="s">
        <v>5</v>
      </c>
      <c r="D392">
        <v>1839</v>
      </c>
      <c r="E392">
        <v>1156</v>
      </c>
      <c r="F392">
        <v>919</v>
      </c>
      <c r="G392">
        <v>845</v>
      </c>
      <c r="H392">
        <v>999</v>
      </c>
      <c r="I392">
        <v>0.71650036699999997</v>
      </c>
      <c r="J392">
        <v>2.696578245</v>
      </c>
      <c r="K392">
        <v>3955</v>
      </c>
      <c r="L392">
        <v>131</v>
      </c>
      <c r="M392" s="2">
        <v>1</v>
      </c>
      <c r="N392">
        <v>1.4903237570000001</v>
      </c>
      <c r="O392">
        <v>0.838749203</v>
      </c>
      <c r="P392" t="b">
        <v>0</v>
      </c>
      <c r="Q392">
        <v>0.35425183999999998</v>
      </c>
      <c r="R392" s="2">
        <v>1</v>
      </c>
      <c r="S392" s="2" t="str">
        <f t="shared" si="25"/>
        <v>Jan</v>
      </c>
      <c r="T392">
        <f t="shared" si="26"/>
        <v>2026</v>
      </c>
      <c r="U392" s="2" t="str">
        <f t="shared" si="27"/>
        <v>Q1</v>
      </c>
      <c r="V392" t="str">
        <f t="shared" si="28"/>
        <v>Completed</v>
      </c>
    </row>
    <row r="393" spans="1:22" x14ac:dyDescent="0.3">
      <c r="A393" s="2">
        <v>392</v>
      </c>
      <c r="B393" s="1">
        <v>46049</v>
      </c>
      <c r="C393" s="2" t="s">
        <v>17</v>
      </c>
      <c r="D393">
        <v>4421</v>
      </c>
      <c r="E393">
        <v>2639</v>
      </c>
      <c r="F393">
        <v>3625</v>
      </c>
      <c r="G393">
        <v>565</v>
      </c>
      <c r="H393">
        <v>831</v>
      </c>
      <c r="I393">
        <v>0.57271070300000004</v>
      </c>
      <c r="J393">
        <v>1.433235619</v>
      </c>
      <c r="K393">
        <v>2966</v>
      </c>
      <c r="L393">
        <v>1739</v>
      </c>
      <c r="M393" s="2">
        <v>8</v>
      </c>
      <c r="N393">
        <v>1.976125291</v>
      </c>
      <c r="O393">
        <v>0.845334425</v>
      </c>
      <c r="P393" t="b">
        <v>0</v>
      </c>
      <c r="Q393">
        <v>0.88205233000000005</v>
      </c>
      <c r="R393" s="2">
        <v>1</v>
      </c>
      <c r="S393" s="2" t="str">
        <f t="shared" si="25"/>
        <v>Jan</v>
      </c>
      <c r="T393">
        <f t="shared" si="26"/>
        <v>2026</v>
      </c>
      <c r="U393" s="2" t="str">
        <f t="shared" si="27"/>
        <v>Q1</v>
      </c>
      <c r="V393" t="str">
        <f t="shared" si="28"/>
        <v>Completed</v>
      </c>
    </row>
    <row r="394" spans="1:22" x14ac:dyDescent="0.3">
      <c r="A394" s="2">
        <v>393</v>
      </c>
      <c r="B394" s="1">
        <v>46050</v>
      </c>
      <c r="C394" s="2" t="s">
        <v>16</v>
      </c>
      <c r="D394">
        <v>3357</v>
      </c>
      <c r="E394">
        <v>678</v>
      </c>
      <c r="F394">
        <v>2970</v>
      </c>
      <c r="G394">
        <v>2803</v>
      </c>
      <c r="H394">
        <v>372</v>
      </c>
      <c r="I394">
        <v>0.25702409500000001</v>
      </c>
      <c r="J394">
        <v>0.755067021</v>
      </c>
      <c r="K394">
        <v>572</v>
      </c>
      <c r="L394">
        <v>1006</v>
      </c>
      <c r="M394" s="2">
        <v>3</v>
      </c>
      <c r="N394">
        <v>0.89802464599999998</v>
      </c>
      <c r="O394">
        <v>0.87733863000000001</v>
      </c>
      <c r="P394" t="b">
        <v>0</v>
      </c>
      <c r="Q394">
        <v>0.66455437399999995</v>
      </c>
      <c r="R394" s="2">
        <v>1</v>
      </c>
      <c r="S394" s="2" t="str">
        <f t="shared" si="25"/>
        <v>Jan</v>
      </c>
      <c r="T394">
        <f t="shared" si="26"/>
        <v>2026</v>
      </c>
      <c r="U394" s="2" t="str">
        <f t="shared" si="27"/>
        <v>Q1</v>
      </c>
      <c r="V394" t="str">
        <f t="shared" si="28"/>
        <v>Completed</v>
      </c>
    </row>
    <row r="395" spans="1:22" x14ac:dyDescent="0.3">
      <c r="A395" s="2">
        <v>394</v>
      </c>
      <c r="B395" s="1">
        <v>46051</v>
      </c>
      <c r="C395" s="2" t="s">
        <v>16</v>
      </c>
      <c r="D395">
        <v>1465</v>
      </c>
      <c r="E395">
        <v>2111</v>
      </c>
      <c r="F395">
        <v>2179</v>
      </c>
      <c r="G395">
        <v>1340</v>
      </c>
      <c r="H395">
        <v>3162</v>
      </c>
      <c r="I395">
        <v>0.34532193900000002</v>
      </c>
      <c r="J395">
        <v>0.85235502699999999</v>
      </c>
      <c r="K395">
        <v>818</v>
      </c>
      <c r="L395">
        <v>3333</v>
      </c>
      <c r="M395" s="2">
        <v>6</v>
      </c>
      <c r="N395">
        <v>0.80261255799999998</v>
      </c>
      <c r="O395">
        <v>0.83767883399999998</v>
      </c>
      <c r="P395" t="b">
        <v>0</v>
      </c>
      <c r="Q395">
        <v>0.27780049099999998</v>
      </c>
      <c r="R395" s="2">
        <v>1</v>
      </c>
      <c r="S395" s="2" t="str">
        <f t="shared" si="25"/>
        <v>Jan</v>
      </c>
      <c r="T395">
        <f t="shared" si="26"/>
        <v>2026</v>
      </c>
      <c r="U395" s="2" t="str">
        <f t="shared" si="27"/>
        <v>Q1</v>
      </c>
      <c r="V395" t="str">
        <f t="shared" si="28"/>
        <v>Completed</v>
      </c>
    </row>
    <row r="396" spans="1:22" x14ac:dyDescent="0.3">
      <c r="A396" s="2">
        <v>395</v>
      </c>
      <c r="B396" s="1">
        <v>46052</v>
      </c>
      <c r="C396" s="2" t="s">
        <v>17</v>
      </c>
      <c r="D396">
        <v>4548</v>
      </c>
      <c r="E396">
        <v>4215</v>
      </c>
      <c r="F396">
        <v>1825</v>
      </c>
      <c r="G396">
        <v>1226</v>
      </c>
      <c r="H396">
        <v>2761</v>
      </c>
      <c r="I396">
        <v>0.26525962600000003</v>
      </c>
      <c r="J396">
        <v>2.2364001120000001</v>
      </c>
      <c r="K396">
        <v>1743</v>
      </c>
      <c r="L396">
        <v>777</v>
      </c>
      <c r="M396" s="2">
        <v>1</v>
      </c>
      <c r="N396">
        <v>1.2164263740000001</v>
      </c>
      <c r="O396">
        <v>0.86314889800000005</v>
      </c>
      <c r="P396" t="b">
        <v>0</v>
      </c>
      <c r="Q396">
        <v>0.90801308300000005</v>
      </c>
      <c r="R396" s="2">
        <v>1</v>
      </c>
      <c r="S396" s="2" t="str">
        <f t="shared" si="25"/>
        <v>Jan</v>
      </c>
      <c r="T396">
        <f t="shared" si="26"/>
        <v>2026</v>
      </c>
      <c r="U396" s="2" t="str">
        <f t="shared" si="27"/>
        <v>Q1</v>
      </c>
      <c r="V396" t="str">
        <f t="shared" si="28"/>
        <v>Completed</v>
      </c>
    </row>
    <row r="397" spans="1:22" x14ac:dyDescent="0.3">
      <c r="A397" s="2">
        <v>396</v>
      </c>
      <c r="B397" s="1">
        <v>46053</v>
      </c>
      <c r="C397" s="2" t="s">
        <v>18</v>
      </c>
      <c r="D397">
        <v>109</v>
      </c>
      <c r="E397">
        <v>1431</v>
      </c>
      <c r="F397">
        <v>1999</v>
      </c>
      <c r="G397">
        <v>1922</v>
      </c>
      <c r="H397">
        <v>2081</v>
      </c>
      <c r="I397">
        <v>0.43092644800000002</v>
      </c>
      <c r="J397">
        <v>1.425928383</v>
      </c>
      <c r="K397">
        <v>767</v>
      </c>
      <c r="L397">
        <v>578</v>
      </c>
      <c r="M397" s="2">
        <v>6</v>
      </c>
      <c r="N397">
        <v>1.2617530539999999</v>
      </c>
      <c r="O397">
        <v>0.81811682399999996</v>
      </c>
      <c r="P397" t="b">
        <v>0</v>
      </c>
      <c r="Q397">
        <v>6.1324600000000002E-4</v>
      </c>
      <c r="R397" s="2">
        <v>1</v>
      </c>
      <c r="S397" s="2" t="str">
        <f t="shared" si="25"/>
        <v>Jan</v>
      </c>
      <c r="T397">
        <f t="shared" si="26"/>
        <v>2026</v>
      </c>
      <c r="U397" s="2" t="str">
        <f t="shared" si="27"/>
        <v>Q1</v>
      </c>
      <c r="V397" t="str">
        <f t="shared" si="28"/>
        <v>Completed</v>
      </c>
    </row>
    <row r="398" spans="1:22" x14ac:dyDescent="0.3">
      <c r="A398" s="2">
        <v>397</v>
      </c>
      <c r="B398" s="1">
        <v>46054</v>
      </c>
      <c r="C398" s="2" t="s">
        <v>17</v>
      </c>
      <c r="D398">
        <v>779</v>
      </c>
      <c r="E398">
        <v>2202</v>
      </c>
      <c r="F398">
        <v>3990</v>
      </c>
      <c r="G398">
        <v>2042</v>
      </c>
      <c r="H398">
        <v>1145</v>
      </c>
      <c r="I398">
        <v>0.54120640099999995</v>
      </c>
      <c r="J398">
        <v>1.332074319</v>
      </c>
      <c r="K398">
        <v>2281</v>
      </c>
      <c r="L398">
        <v>2234</v>
      </c>
      <c r="M398" s="2">
        <v>1</v>
      </c>
      <c r="N398">
        <v>0.66748729699999998</v>
      </c>
      <c r="O398">
        <v>0.99124793600000005</v>
      </c>
      <c r="P398" t="b">
        <v>0</v>
      </c>
      <c r="Q398">
        <v>0.13757154499999999</v>
      </c>
      <c r="R398" s="2">
        <v>1</v>
      </c>
      <c r="S398" s="2" t="str">
        <f t="shared" si="25"/>
        <v>Feb</v>
      </c>
      <c r="T398">
        <f t="shared" si="26"/>
        <v>2026</v>
      </c>
      <c r="U398" s="2" t="str">
        <f t="shared" si="27"/>
        <v>Q1</v>
      </c>
      <c r="V398" t="str">
        <f t="shared" si="28"/>
        <v>Completed</v>
      </c>
    </row>
    <row r="399" spans="1:22" x14ac:dyDescent="0.3">
      <c r="A399" s="2">
        <v>398</v>
      </c>
      <c r="B399" s="1">
        <v>46055</v>
      </c>
      <c r="C399" s="2" t="s">
        <v>16</v>
      </c>
      <c r="D399">
        <v>3963</v>
      </c>
      <c r="E399">
        <v>2537</v>
      </c>
      <c r="F399">
        <v>1289</v>
      </c>
      <c r="G399">
        <v>1735</v>
      </c>
      <c r="H399">
        <v>162</v>
      </c>
      <c r="I399">
        <v>0.40563449299999998</v>
      </c>
      <c r="J399">
        <v>1.1020880019999999</v>
      </c>
      <c r="K399">
        <v>205</v>
      </c>
      <c r="L399">
        <v>2032</v>
      </c>
      <c r="M399" s="2">
        <v>5</v>
      </c>
      <c r="N399">
        <v>1.5842279459999999</v>
      </c>
      <c r="O399">
        <v>0.82278555900000006</v>
      </c>
      <c r="P399" t="b">
        <v>0</v>
      </c>
      <c r="Q399">
        <v>0.78843008999999997</v>
      </c>
      <c r="R399" s="2">
        <v>0</v>
      </c>
      <c r="S399" s="2" t="str">
        <f t="shared" si="25"/>
        <v>Feb</v>
      </c>
      <c r="T399">
        <f t="shared" si="26"/>
        <v>2026</v>
      </c>
      <c r="U399" s="2" t="str">
        <f t="shared" si="27"/>
        <v>Q1</v>
      </c>
      <c r="V399" t="str">
        <f t="shared" si="28"/>
        <v>Completed</v>
      </c>
    </row>
    <row r="400" spans="1:22" x14ac:dyDescent="0.3">
      <c r="A400" s="2">
        <v>399</v>
      </c>
      <c r="B400" s="1">
        <v>46056</v>
      </c>
      <c r="C400" s="2" t="s">
        <v>16</v>
      </c>
      <c r="D400">
        <v>290</v>
      </c>
      <c r="E400">
        <v>2617</v>
      </c>
      <c r="F400">
        <v>1543</v>
      </c>
      <c r="G400">
        <v>3504</v>
      </c>
      <c r="H400">
        <v>3691</v>
      </c>
      <c r="I400">
        <v>0.42888508199999997</v>
      </c>
      <c r="J400">
        <v>2.1345137300000001</v>
      </c>
      <c r="K400">
        <v>625</v>
      </c>
      <c r="L400">
        <v>3812</v>
      </c>
      <c r="M400" s="2">
        <v>4</v>
      </c>
      <c r="N400">
        <v>0.85046256099999995</v>
      </c>
      <c r="O400">
        <v>0.92024563100000001</v>
      </c>
      <c r="P400" t="b">
        <v>0</v>
      </c>
      <c r="Q400">
        <v>3.7612428000000003E-2</v>
      </c>
      <c r="R400" s="2">
        <v>1</v>
      </c>
      <c r="S400" s="2" t="str">
        <f t="shared" si="25"/>
        <v>Feb</v>
      </c>
      <c r="T400">
        <f t="shared" si="26"/>
        <v>2026</v>
      </c>
      <c r="U400" s="2" t="str">
        <f t="shared" si="27"/>
        <v>Q1</v>
      </c>
      <c r="V400" t="str">
        <f t="shared" si="28"/>
        <v>Failed</v>
      </c>
    </row>
    <row r="401" spans="1:22" x14ac:dyDescent="0.3">
      <c r="A401" s="2">
        <v>400</v>
      </c>
      <c r="B401" s="1">
        <v>46057</v>
      </c>
      <c r="C401" s="2" t="s">
        <v>16</v>
      </c>
      <c r="D401">
        <v>1197</v>
      </c>
      <c r="E401">
        <v>3675</v>
      </c>
      <c r="F401">
        <v>392</v>
      </c>
      <c r="G401">
        <v>2502</v>
      </c>
      <c r="H401">
        <v>1177</v>
      </c>
      <c r="I401">
        <v>0.78844093100000001</v>
      </c>
      <c r="J401">
        <v>1.550326085</v>
      </c>
      <c r="K401">
        <v>642</v>
      </c>
      <c r="L401">
        <v>449</v>
      </c>
      <c r="M401" s="2">
        <v>2</v>
      </c>
      <c r="N401">
        <v>0.666056812</v>
      </c>
      <c r="O401">
        <v>0.91078949899999995</v>
      </c>
      <c r="P401" t="b">
        <v>0</v>
      </c>
      <c r="Q401">
        <v>0.22301717099999999</v>
      </c>
      <c r="R401" s="2">
        <v>1</v>
      </c>
      <c r="S401" s="2" t="str">
        <f t="shared" si="25"/>
        <v>Feb</v>
      </c>
      <c r="T401">
        <f t="shared" si="26"/>
        <v>2026</v>
      </c>
      <c r="U401" s="2" t="str">
        <f t="shared" si="27"/>
        <v>Q1</v>
      </c>
      <c r="V401" t="str">
        <f t="shared" si="28"/>
        <v>Completed</v>
      </c>
    </row>
    <row r="402" spans="1:22" x14ac:dyDescent="0.3">
      <c r="A402" s="2">
        <v>401</v>
      </c>
      <c r="B402" s="1">
        <v>46058</v>
      </c>
      <c r="C402" s="2" t="s">
        <v>16</v>
      </c>
      <c r="D402">
        <v>211</v>
      </c>
      <c r="E402">
        <v>1081</v>
      </c>
      <c r="F402">
        <v>1190</v>
      </c>
      <c r="G402">
        <v>2412</v>
      </c>
      <c r="H402">
        <v>3210</v>
      </c>
      <c r="I402">
        <v>0.56936651800000004</v>
      </c>
      <c r="J402">
        <v>0.68105180300000001</v>
      </c>
      <c r="K402">
        <v>271</v>
      </c>
      <c r="L402">
        <v>775</v>
      </c>
      <c r="M402" s="2">
        <v>9</v>
      </c>
      <c r="N402">
        <v>0.61540180200000005</v>
      </c>
      <c r="O402">
        <v>0.82113597299999996</v>
      </c>
      <c r="P402" t="b">
        <v>0</v>
      </c>
      <c r="Q402">
        <v>2.1463613999999999E-2</v>
      </c>
      <c r="R402" s="2">
        <v>1</v>
      </c>
      <c r="S402" s="2" t="str">
        <f t="shared" si="25"/>
        <v>Feb</v>
      </c>
      <c r="T402">
        <f t="shared" si="26"/>
        <v>2026</v>
      </c>
      <c r="U402" s="2" t="str">
        <f t="shared" si="27"/>
        <v>Q1</v>
      </c>
      <c r="V402" t="str">
        <f t="shared" si="28"/>
        <v>Completed</v>
      </c>
    </row>
    <row r="403" spans="1:22" x14ac:dyDescent="0.3">
      <c r="A403" s="2">
        <v>402</v>
      </c>
      <c r="B403" s="1">
        <v>46059</v>
      </c>
      <c r="C403" s="2" t="s">
        <v>5</v>
      </c>
      <c r="D403">
        <v>401</v>
      </c>
      <c r="E403">
        <v>4075</v>
      </c>
      <c r="F403">
        <v>2547</v>
      </c>
      <c r="G403">
        <v>436</v>
      </c>
      <c r="H403">
        <v>2197</v>
      </c>
      <c r="I403">
        <v>0.28874361900000001</v>
      </c>
      <c r="J403">
        <v>2.3741296489999999</v>
      </c>
      <c r="K403">
        <v>1076</v>
      </c>
      <c r="L403">
        <v>3586</v>
      </c>
      <c r="M403" s="2">
        <v>5</v>
      </c>
      <c r="N403">
        <v>1.520944981</v>
      </c>
      <c r="O403">
        <v>0.81223320899999996</v>
      </c>
      <c r="P403" t="b">
        <v>0</v>
      </c>
      <c r="Q403">
        <v>6.0302534999999997E-2</v>
      </c>
      <c r="R403" s="2">
        <v>1</v>
      </c>
      <c r="S403" s="2" t="str">
        <f t="shared" si="25"/>
        <v>Feb</v>
      </c>
      <c r="T403">
        <f t="shared" si="26"/>
        <v>2026</v>
      </c>
      <c r="U403" s="2" t="str">
        <f t="shared" si="27"/>
        <v>Q1</v>
      </c>
      <c r="V403" t="str">
        <f t="shared" si="28"/>
        <v>Completed</v>
      </c>
    </row>
    <row r="404" spans="1:22" x14ac:dyDescent="0.3">
      <c r="A404" s="2">
        <v>403</v>
      </c>
      <c r="B404" s="1">
        <v>46060</v>
      </c>
      <c r="C404" s="2" t="s">
        <v>16</v>
      </c>
      <c r="D404">
        <v>1553</v>
      </c>
      <c r="E404">
        <v>3069</v>
      </c>
      <c r="F404">
        <v>3231</v>
      </c>
      <c r="G404">
        <v>1753</v>
      </c>
      <c r="H404">
        <v>2151</v>
      </c>
      <c r="I404">
        <v>0.59414311799999997</v>
      </c>
      <c r="J404">
        <v>1.940408487</v>
      </c>
      <c r="K404">
        <v>4280</v>
      </c>
      <c r="L404">
        <v>2703</v>
      </c>
      <c r="M404" s="2">
        <v>2</v>
      </c>
      <c r="N404">
        <v>0.83968754599999995</v>
      </c>
      <c r="O404">
        <v>0.89724290399999995</v>
      </c>
      <c r="P404" t="b">
        <v>0</v>
      </c>
      <c r="Q404">
        <v>0.29578904299999997</v>
      </c>
      <c r="R404" s="2">
        <v>1</v>
      </c>
      <c r="S404" s="2" t="str">
        <f t="shared" si="25"/>
        <v>Feb</v>
      </c>
      <c r="T404">
        <f t="shared" si="26"/>
        <v>2026</v>
      </c>
      <c r="U404" s="2" t="str">
        <f t="shared" si="27"/>
        <v>Q1</v>
      </c>
      <c r="V404" t="str">
        <f t="shared" si="28"/>
        <v>Completed</v>
      </c>
    </row>
    <row r="405" spans="1:22" x14ac:dyDescent="0.3">
      <c r="A405" s="2">
        <v>404</v>
      </c>
      <c r="B405" s="1">
        <v>46061</v>
      </c>
      <c r="C405" s="2" t="s">
        <v>17</v>
      </c>
      <c r="D405">
        <v>2703</v>
      </c>
      <c r="E405">
        <v>2916</v>
      </c>
      <c r="F405">
        <v>2523</v>
      </c>
      <c r="G405">
        <v>322</v>
      </c>
      <c r="H405">
        <v>1545</v>
      </c>
      <c r="I405">
        <v>0.37041497499999998</v>
      </c>
      <c r="J405">
        <v>2.7834326549999999</v>
      </c>
      <c r="K405">
        <v>793</v>
      </c>
      <c r="L405">
        <v>3362</v>
      </c>
      <c r="M405" s="2">
        <v>6</v>
      </c>
      <c r="N405">
        <v>1.241202288</v>
      </c>
      <c r="O405">
        <v>0.96950677699999999</v>
      </c>
      <c r="P405" t="b">
        <v>0</v>
      </c>
      <c r="Q405">
        <v>0.53086672099999999</v>
      </c>
      <c r="R405" s="2">
        <v>1</v>
      </c>
      <c r="S405" s="2" t="str">
        <f t="shared" si="25"/>
        <v>Feb</v>
      </c>
      <c r="T405">
        <f t="shared" si="26"/>
        <v>2026</v>
      </c>
      <c r="U405" s="2" t="str">
        <f t="shared" si="27"/>
        <v>Q1</v>
      </c>
      <c r="V405" t="str">
        <f t="shared" si="28"/>
        <v>Completed</v>
      </c>
    </row>
    <row r="406" spans="1:22" x14ac:dyDescent="0.3">
      <c r="A406" s="2">
        <v>405</v>
      </c>
      <c r="B406" s="1">
        <v>46062</v>
      </c>
      <c r="C406" s="2" t="s">
        <v>16</v>
      </c>
      <c r="D406">
        <v>1456</v>
      </c>
      <c r="E406">
        <v>2676</v>
      </c>
      <c r="F406">
        <v>3992</v>
      </c>
      <c r="G406">
        <v>3524</v>
      </c>
      <c r="H406">
        <v>715</v>
      </c>
      <c r="I406">
        <v>0.24983984200000001</v>
      </c>
      <c r="J406">
        <v>1.798985938</v>
      </c>
      <c r="K406">
        <v>1606</v>
      </c>
      <c r="L406">
        <v>1664</v>
      </c>
      <c r="M406" s="2">
        <v>7</v>
      </c>
      <c r="N406">
        <v>1.8307347599999999</v>
      </c>
      <c r="O406">
        <v>0.84651934200000001</v>
      </c>
      <c r="P406" t="b">
        <v>0</v>
      </c>
      <c r="Q406">
        <v>0.27596075199999998</v>
      </c>
      <c r="R406" s="2">
        <v>1</v>
      </c>
      <c r="S406" s="2" t="str">
        <f t="shared" si="25"/>
        <v>Feb</v>
      </c>
      <c r="T406">
        <f t="shared" si="26"/>
        <v>2026</v>
      </c>
      <c r="U406" s="2" t="str">
        <f t="shared" si="27"/>
        <v>Q1</v>
      </c>
      <c r="V406" t="str">
        <f t="shared" si="28"/>
        <v>Completed</v>
      </c>
    </row>
    <row r="407" spans="1:22" x14ac:dyDescent="0.3">
      <c r="A407" s="2">
        <v>406</v>
      </c>
      <c r="B407" s="1">
        <v>46063</v>
      </c>
      <c r="C407" s="2" t="s">
        <v>18</v>
      </c>
      <c r="D407">
        <v>1467</v>
      </c>
      <c r="E407">
        <v>2412</v>
      </c>
      <c r="F407">
        <v>1454</v>
      </c>
      <c r="G407">
        <v>4883</v>
      </c>
      <c r="H407">
        <v>890</v>
      </c>
      <c r="I407">
        <v>0.40586641699999998</v>
      </c>
      <c r="J407">
        <v>2.2881960320000001</v>
      </c>
      <c r="K407">
        <v>3172</v>
      </c>
      <c r="L407">
        <v>283</v>
      </c>
      <c r="M407" s="2">
        <v>3</v>
      </c>
      <c r="N407">
        <v>1.374768711</v>
      </c>
      <c r="O407">
        <v>0.83371110500000001</v>
      </c>
      <c r="P407" t="b">
        <v>0</v>
      </c>
      <c r="Q407">
        <v>0.27820932100000001</v>
      </c>
      <c r="R407" s="2">
        <v>1</v>
      </c>
      <c r="S407" s="2" t="str">
        <f t="shared" si="25"/>
        <v>Feb</v>
      </c>
      <c r="T407">
        <f t="shared" si="26"/>
        <v>2026</v>
      </c>
      <c r="U407" s="2" t="str">
        <f t="shared" si="27"/>
        <v>Q1</v>
      </c>
      <c r="V407" t="str">
        <f t="shared" si="28"/>
        <v>Completed</v>
      </c>
    </row>
    <row r="408" spans="1:22" x14ac:dyDescent="0.3">
      <c r="A408" s="2">
        <v>407</v>
      </c>
      <c r="B408" s="1">
        <v>46064</v>
      </c>
      <c r="C408" s="2" t="s">
        <v>18</v>
      </c>
      <c r="D408">
        <v>3086</v>
      </c>
      <c r="E408">
        <v>2061</v>
      </c>
      <c r="F408">
        <v>326</v>
      </c>
      <c r="G408">
        <v>2511</v>
      </c>
      <c r="H408">
        <v>1683</v>
      </c>
      <c r="I408">
        <v>0.24181652200000001</v>
      </c>
      <c r="J408">
        <v>1.0813533369999999</v>
      </c>
      <c r="K408">
        <v>1956</v>
      </c>
      <c r="L408">
        <v>697</v>
      </c>
      <c r="M408" s="2">
        <v>7</v>
      </c>
      <c r="N408">
        <v>1.517872297</v>
      </c>
      <c r="O408">
        <v>0.80451674200000001</v>
      </c>
      <c r="P408" t="b">
        <v>0</v>
      </c>
      <c r="Q408">
        <v>0.60915780900000005</v>
      </c>
      <c r="R408" s="2">
        <v>1</v>
      </c>
      <c r="S408" s="2" t="str">
        <f t="shared" si="25"/>
        <v>Feb</v>
      </c>
      <c r="T408">
        <f t="shared" si="26"/>
        <v>2026</v>
      </c>
      <c r="U408" s="2" t="str">
        <f t="shared" si="27"/>
        <v>Q1</v>
      </c>
      <c r="V408" t="str">
        <f t="shared" si="28"/>
        <v>Completed</v>
      </c>
    </row>
    <row r="409" spans="1:22" x14ac:dyDescent="0.3">
      <c r="A409" s="2">
        <v>408</v>
      </c>
      <c r="B409" s="1">
        <v>46065</v>
      </c>
      <c r="C409" s="2" t="s">
        <v>17</v>
      </c>
      <c r="D409">
        <v>3495</v>
      </c>
      <c r="E409">
        <v>1326</v>
      </c>
      <c r="F409">
        <v>2338</v>
      </c>
      <c r="G409">
        <v>3137</v>
      </c>
      <c r="H409">
        <v>3473</v>
      </c>
      <c r="I409">
        <v>0.42754838899999997</v>
      </c>
      <c r="J409">
        <v>1.272882222</v>
      </c>
      <c r="K409">
        <v>1420</v>
      </c>
      <c r="L409">
        <v>3144</v>
      </c>
      <c r="M409" s="2">
        <v>3</v>
      </c>
      <c r="N409">
        <v>1.1217131060000001</v>
      </c>
      <c r="O409">
        <v>0.972650931</v>
      </c>
      <c r="P409" t="b">
        <v>0</v>
      </c>
      <c r="Q409">
        <v>0.69276369599999998</v>
      </c>
      <c r="R409" s="2">
        <v>1</v>
      </c>
      <c r="S409" s="2" t="str">
        <f t="shared" si="25"/>
        <v>Feb</v>
      </c>
      <c r="T409">
        <f t="shared" si="26"/>
        <v>2026</v>
      </c>
      <c r="U409" s="2" t="str">
        <f t="shared" si="27"/>
        <v>Q1</v>
      </c>
      <c r="V409" t="str">
        <f t="shared" si="28"/>
        <v>Completed</v>
      </c>
    </row>
    <row r="410" spans="1:22" x14ac:dyDescent="0.3">
      <c r="A410" s="2">
        <v>409</v>
      </c>
      <c r="B410" s="1">
        <v>46066</v>
      </c>
      <c r="C410" s="2" t="s">
        <v>18</v>
      </c>
      <c r="D410">
        <v>4558</v>
      </c>
      <c r="E410">
        <v>2263</v>
      </c>
      <c r="F410">
        <v>2117</v>
      </c>
      <c r="G410">
        <v>3312</v>
      </c>
      <c r="H410">
        <v>791</v>
      </c>
      <c r="I410">
        <v>0.28100774000000001</v>
      </c>
      <c r="J410">
        <v>1.086103405</v>
      </c>
      <c r="K410">
        <v>1197</v>
      </c>
      <c r="L410">
        <v>3477</v>
      </c>
      <c r="M410" s="2">
        <v>3</v>
      </c>
      <c r="N410">
        <v>1.291032424</v>
      </c>
      <c r="O410">
        <v>0.84630570800000005</v>
      </c>
      <c r="P410" t="b">
        <v>0</v>
      </c>
      <c r="Q410">
        <v>0.91005723599999999</v>
      </c>
      <c r="R410" s="2">
        <v>1</v>
      </c>
      <c r="S410" s="2" t="str">
        <f t="shared" si="25"/>
        <v>Feb</v>
      </c>
      <c r="T410">
        <f t="shared" si="26"/>
        <v>2026</v>
      </c>
      <c r="U410" s="2" t="str">
        <f t="shared" si="27"/>
        <v>Q1</v>
      </c>
      <c r="V410" t="str">
        <f t="shared" si="28"/>
        <v>Completed</v>
      </c>
    </row>
    <row r="411" spans="1:22" x14ac:dyDescent="0.3">
      <c r="A411" s="2">
        <v>410</v>
      </c>
      <c r="B411" s="1">
        <v>46067</v>
      </c>
      <c r="C411" s="2" t="s">
        <v>18</v>
      </c>
      <c r="D411">
        <v>2899</v>
      </c>
      <c r="E411">
        <v>1430</v>
      </c>
      <c r="F411">
        <v>2518</v>
      </c>
      <c r="G411">
        <v>2733</v>
      </c>
      <c r="H411">
        <v>2097</v>
      </c>
      <c r="I411">
        <v>0.26574204000000001</v>
      </c>
      <c r="J411">
        <v>1.705401862</v>
      </c>
      <c r="K411">
        <v>2779</v>
      </c>
      <c r="L411">
        <v>1483</v>
      </c>
      <c r="M411" s="2">
        <v>9</v>
      </c>
      <c r="N411">
        <v>0.95645898600000001</v>
      </c>
      <c r="O411">
        <v>0.85896076200000004</v>
      </c>
      <c r="P411" t="b">
        <v>0</v>
      </c>
      <c r="Q411">
        <v>0.57093213399999998</v>
      </c>
      <c r="R411" s="2">
        <v>1</v>
      </c>
      <c r="S411" s="2" t="str">
        <f t="shared" si="25"/>
        <v>Feb</v>
      </c>
      <c r="T411">
        <f t="shared" si="26"/>
        <v>2026</v>
      </c>
      <c r="U411" s="2" t="str">
        <f t="shared" si="27"/>
        <v>Q1</v>
      </c>
      <c r="V411" t="str">
        <f t="shared" si="28"/>
        <v>Completed</v>
      </c>
    </row>
    <row r="412" spans="1:22" x14ac:dyDescent="0.3">
      <c r="A412" s="2">
        <v>411</v>
      </c>
      <c r="B412" s="1">
        <v>46068</v>
      </c>
      <c r="C412" s="2" t="s">
        <v>17</v>
      </c>
      <c r="D412">
        <v>1953</v>
      </c>
      <c r="E412">
        <v>1500</v>
      </c>
      <c r="F412">
        <v>732</v>
      </c>
      <c r="G412">
        <v>4881</v>
      </c>
      <c r="H412">
        <v>910</v>
      </c>
      <c r="I412">
        <v>0.59132373999999999</v>
      </c>
      <c r="J412">
        <v>1.755183975</v>
      </c>
      <c r="K412">
        <v>354</v>
      </c>
      <c r="L412">
        <v>1281</v>
      </c>
      <c r="M412" s="2">
        <v>8</v>
      </c>
      <c r="N412">
        <v>0.58496171399999997</v>
      </c>
      <c r="O412">
        <v>0.91866225899999998</v>
      </c>
      <c r="P412" t="b">
        <v>0</v>
      </c>
      <c r="Q412">
        <v>0.37755519199999998</v>
      </c>
      <c r="R412" s="2">
        <v>1</v>
      </c>
      <c r="S412" s="2" t="str">
        <f t="shared" si="25"/>
        <v>Feb</v>
      </c>
      <c r="T412">
        <f t="shared" si="26"/>
        <v>2026</v>
      </c>
      <c r="U412" s="2" t="str">
        <f t="shared" si="27"/>
        <v>Q1</v>
      </c>
      <c r="V412" t="str">
        <f t="shared" si="28"/>
        <v>Completed</v>
      </c>
    </row>
    <row r="413" spans="1:22" x14ac:dyDescent="0.3">
      <c r="A413" s="2">
        <v>412</v>
      </c>
      <c r="B413" s="1">
        <v>46069</v>
      </c>
      <c r="C413" s="2" t="s">
        <v>16</v>
      </c>
      <c r="D413">
        <v>2805</v>
      </c>
      <c r="E413">
        <v>3724</v>
      </c>
      <c r="F413">
        <v>974</v>
      </c>
      <c r="G413">
        <v>4544</v>
      </c>
      <c r="H413">
        <v>2789</v>
      </c>
      <c r="I413">
        <v>0.62577413800000004</v>
      </c>
      <c r="J413">
        <v>0.55599629900000003</v>
      </c>
      <c r="K413">
        <v>1350</v>
      </c>
      <c r="L413">
        <v>2864</v>
      </c>
      <c r="M413" s="2">
        <v>9</v>
      </c>
      <c r="N413">
        <v>0.87350054600000004</v>
      </c>
      <c r="O413">
        <v>0.81683751000000004</v>
      </c>
      <c r="P413" t="b">
        <v>0</v>
      </c>
      <c r="Q413">
        <v>0.55171708900000005</v>
      </c>
      <c r="R413" s="2">
        <v>1</v>
      </c>
      <c r="S413" s="2" t="str">
        <f t="shared" si="25"/>
        <v>Feb</v>
      </c>
      <c r="T413">
        <f t="shared" si="26"/>
        <v>2026</v>
      </c>
      <c r="U413" s="2" t="str">
        <f t="shared" si="27"/>
        <v>Q1</v>
      </c>
      <c r="V413" t="str">
        <f t="shared" si="28"/>
        <v>Completed</v>
      </c>
    </row>
    <row r="414" spans="1:22" x14ac:dyDescent="0.3">
      <c r="A414" s="2">
        <v>413</v>
      </c>
      <c r="B414" s="1">
        <v>46070</v>
      </c>
      <c r="C414" s="2" t="s">
        <v>16</v>
      </c>
      <c r="D414">
        <v>1170</v>
      </c>
      <c r="E414">
        <v>3254</v>
      </c>
      <c r="F414">
        <v>2726</v>
      </c>
      <c r="G414">
        <v>1331</v>
      </c>
      <c r="H414">
        <v>2162</v>
      </c>
      <c r="I414">
        <v>0.35881993200000001</v>
      </c>
      <c r="J414">
        <v>1.089293055</v>
      </c>
      <c r="K414">
        <v>2613</v>
      </c>
      <c r="L414">
        <v>645</v>
      </c>
      <c r="M414" s="2">
        <v>4</v>
      </c>
      <c r="N414">
        <v>1.9772002980000001</v>
      </c>
      <c r="O414">
        <v>0.92696675900000003</v>
      </c>
      <c r="P414" t="b">
        <v>0</v>
      </c>
      <c r="Q414">
        <v>0.21749795599999999</v>
      </c>
      <c r="R414" s="2">
        <v>1</v>
      </c>
      <c r="S414" s="2" t="str">
        <f t="shared" si="25"/>
        <v>Feb</v>
      </c>
      <c r="T414">
        <f t="shared" si="26"/>
        <v>2026</v>
      </c>
      <c r="U414" s="2" t="str">
        <f t="shared" si="27"/>
        <v>Q1</v>
      </c>
      <c r="V414" t="str">
        <f t="shared" si="28"/>
        <v>Completed</v>
      </c>
    </row>
    <row r="415" spans="1:22" x14ac:dyDescent="0.3">
      <c r="A415" s="2">
        <v>414</v>
      </c>
      <c r="B415" s="1">
        <v>46071</v>
      </c>
      <c r="C415" s="2" t="s">
        <v>16</v>
      </c>
      <c r="D415">
        <v>2888</v>
      </c>
      <c r="E415">
        <v>1807</v>
      </c>
      <c r="F415">
        <v>745</v>
      </c>
      <c r="G415">
        <v>2092</v>
      </c>
      <c r="H415">
        <v>1934</v>
      </c>
      <c r="I415">
        <v>0.22601086100000001</v>
      </c>
      <c r="J415">
        <v>1.940608433</v>
      </c>
      <c r="K415">
        <v>4633</v>
      </c>
      <c r="L415">
        <v>3243</v>
      </c>
      <c r="M415" s="2">
        <v>1</v>
      </c>
      <c r="N415">
        <v>1.9617069549999999</v>
      </c>
      <c r="O415">
        <v>0.86698409399999998</v>
      </c>
      <c r="P415" t="b">
        <v>0</v>
      </c>
      <c r="Q415">
        <v>0.56868356499999995</v>
      </c>
      <c r="R415" s="2">
        <v>1</v>
      </c>
      <c r="S415" s="2" t="str">
        <f t="shared" si="25"/>
        <v>Feb</v>
      </c>
      <c r="T415">
        <f t="shared" si="26"/>
        <v>2026</v>
      </c>
      <c r="U415" s="2" t="str">
        <f t="shared" si="27"/>
        <v>Q1</v>
      </c>
      <c r="V415" t="str">
        <f t="shared" si="28"/>
        <v>Completed</v>
      </c>
    </row>
    <row r="416" spans="1:22" x14ac:dyDescent="0.3">
      <c r="A416" s="2">
        <v>415</v>
      </c>
      <c r="B416" s="1">
        <v>46072</v>
      </c>
      <c r="C416" s="2" t="s">
        <v>16</v>
      </c>
      <c r="D416">
        <v>4959</v>
      </c>
      <c r="E416">
        <v>1955</v>
      </c>
      <c r="F416">
        <v>2923</v>
      </c>
      <c r="G416">
        <v>2106</v>
      </c>
      <c r="H416">
        <v>402</v>
      </c>
      <c r="I416">
        <v>0.70200452899999999</v>
      </c>
      <c r="J416">
        <v>1.9195611850000001</v>
      </c>
      <c r="K416">
        <v>2644</v>
      </c>
      <c r="L416">
        <v>1845</v>
      </c>
      <c r="M416" s="2">
        <v>3</v>
      </c>
      <c r="N416">
        <v>1.3603669439999999</v>
      </c>
      <c r="O416">
        <v>0.84088734399999998</v>
      </c>
      <c r="P416" t="b">
        <v>0</v>
      </c>
      <c r="Q416">
        <v>0.99202780000000002</v>
      </c>
      <c r="R416" s="2">
        <v>1</v>
      </c>
      <c r="S416" s="2" t="str">
        <f t="shared" si="25"/>
        <v>Feb</v>
      </c>
      <c r="T416">
        <f t="shared" si="26"/>
        <v>2026</v>
      </c>
      <c r="U416" s="2" t="str">
        <f t="shared" si="27"/>
        <v>Q1</v>
      </c>
      <c r="V416" t="str">
        <f t="shared" si="28"/>
        <v>Completed</v>
      </c>
    </row>
    <row r="417" spans="1:22" x14ac:dyDescent="0.3">
      <c r="A417" s="2">
        <v>416</v>
      </c>
      <c r="B417" s="1">
        <v>46073</v>
      </c>
      <c r="C417" s="2" t="s">
        <v>18</v>
      </c>
      <c r="D417">
        <v>2076</v>
      </c>
      <c r="E417">
        <v>4466</v>
      </c>
      <c r="F417">
        <v>2125</v>
      </c>
      <c r="G417">
        <v>4310</v>
      </c>
      <c r="H417">
        <v>3115</v>
      </c>
      <c r="I417">
        <v>0.49224023</v>
      </c>
      <c r="J417">
        <v>2.557985779</v>
      </c>
      <c r="K417">
        <v>2695</v>
      </c>
      <c r="L417">
        <v>1598</v>
      </c>
      <c r="M417" s="2">
        <v>9</v>
      </c>
      <c r="N417">
        <v>0.59350283500000001</v>
      </c>
      <c r="O417">
        <v>0.80990639099999995</v>
      </c>
      <c r="P417" t="b">
        <v>0</v>
      </c>
      <c r="Q417">
        <v>0.40269828299999999</v>
      </c>
      <c r="R417" s="2">
        <v>1</v>
      </c>
      <c r="S417" s="2" t="str">
        <f t="shared" si="25"/>
        <v>Feb</v>
      </c>
      <c r="T417">
        <f t="shared" si="26"/>
        <v>2026</v>
      </c>
      <c r="U417" s="2" t="str">
        <f t="shared" si="27"/>
        <v>Q1</v>
      </c>
      <c r="V417" t="str">
        <f t="shared" si="28"/>
        <v>Completed</v>
      </c>
    </row>
    <row r="418" spans="1:22" x14ac:dyDescent="0.3">
      <c r="A418" s="2">
        <v>417</v>
      </c>
      <c r="B418" s="1">
        <v>46074</v>
      </c>
      <c r="C418" s="2" t="s">
        <v>18</v>
      </c>
      <c r="D418">
        <v>3638</v>
      </c>
      <c r="E418">
        <v>765</v>
      </c>
      <c r="F418">
        <v>2224</v>
      </c>
      <c r="G418">
        <v>1127</v>
      </c>
      <c r="H418">
        <v>893</v>
      </c>
      <c r="I418">
        <v>0.25295753199999998</v>
      </c>
      <c r="J418">
        <v>0.72319672999999995</v>
      </c>
      <c r="K418">
        <v>391</v>
      </c>
      <c r="L418">
        <v>2168</v>
      </c>
      <c r="M418" s="2">
        <v>6</v>
      </c>
      <c r="N418">
        <v>1.468209946</v>
      </c>
      <c r="O418">
        <v>0.92477310000000001</v>
      </c>
      <c r="P418" t="b">
        <v>0</v>
      </c>
      <c r="Q418">
        <v>0.72199509399999995</v>
      </c>
      <c r="R418" s="2">
        <v>1</v>
      </c>
      <c r="S418" s="2" t="str">
        <f t="shared" si="25"/>
        <v>Feb</v>
      </c>
      <c r="T418">
        <f t="shared" si="26"/>
        <v>2026</v>
      </c>
      <c r="U418" s="2" t="str">
        <f t="shared" si="27"/>
        <v>Q1</v>
      </c>
      <c r="V418" t="str">
        <f t="shared" si="28"/>
        <v>Completed</v>
      </c>
    </row>
    <row r="419" spans="1:22" x14ac:dyDescent="0.3">
      <c r="A419" s="2">
        <v>418</v>
      </c>
      <c r="B419" s="1">
        <v>46075</v>
      </c>
      <c r="C419" s="2" t="s">
        <v>16</v>
      </c>
      <c r="D419">
        <v>2406</v>
      </c>
      <c r="E419">
        <v>1020</v>
      </c>
      <c r="F419">
        <v>3759</v>
      </c>
      <c r="G419">
        <v>3794</v>
      </c>
      <c r="H419">
        <v>3287</v>
      </c>
      <c r="I419">
        <v>0.654348394</v>
      </c>
      <c r="J419">
        <v>2.293619181</v>
      </c>
      <c r="K419">
        <v>2469</v>
      </c>
      <c r="L419">
        <v>1769</v>
      </c>
      <c r="M419" s="2">
        <v>1</v>
      </c>
      <c r="N419">
        <v>1.810879468</v>
      </c>
      <c r="O419">
        <v>0.90934875500000001</v>
      </c>
      <c r="P419" t="b">
        <v>0</v>
      </c>
      <c r="Q419">
        <v>0.47015535600000002</v>
      </c>
      <c r="R419" s="2">
        <v>1</v>
      </c>
      <c r="S419" s="2" t="str">
        <f t="shared" si="25"/>
        <v>Feb</v>
      </c>
      <c r="T419">
        <f t="shared" si="26"/>
        <v>2026</v>
      </c>
      <c r="U419" s="2" t="str">
        <f t="shared" si="27"/>
        <v>Q1</v>
      </c>
      <c r="V419" t="str">
        <f t="shared" si="28"/>
        <v>Completed</v>
      </c>
    </row>
    <row r="420" spans="1:22" x14ac:dyDescent="0.3">
      <c r="A420" s="2">
        <v>419</v>
      </c>
      <c r="B420" s="1">
        <v>46076</v>
      </c>
      <c r="C420" s="2" t="s">
        <v>16</v>
      </c>
      <c r="D420">
        <v>1719</v>
      </c>
      <c r="E420">
        <v>1249</v>
      </c>
      <c r="F420">
        <v>1405</v>
      </c>
      <c r="G420">
        <v>2701</v>
      </c>
      <c r="H420">
        <v>2237</v>
      </c>
      <c r="I420">
        <v>0.47592445700000002</v>
      </c>
      <c r="J420">
        <v>1.8408344299999999</v>
      </c>
      <c r="K420">
        <v>3439</v>
      </c>
      <c r="L420">
        <v>1452</v>
      </c>
      <c r="M420" s="2">
        <v>9</v>
      </c>
      <c r="N420">
        <v>0.58111705000000002</v>
      </c>
      <c r="O420">
        <v>0.83501936200000004</v>
      </c>
      <c r="P420" t="b">
        <v>0</v>
      </c>
      <c r="Q420">
        <v>0.32972199499999999</v>
      </c>
      <c r="R420" s="2">
        <v>1</v>
      </c>
      <c r="S420" s="2" t="str">
        <f t="shared" si="25"/>
        <v>Feb</v>
      </c>
      <c r="T420">
        <f t="shared" si="26"/>
        <v>2026</v>
      </c>
      <c r="U420" s="2" t="str">
        <f t="shared" si="27"/>
        <v>Q1</v>
      </c>
      <c r="V420" t="str">
        <f t="shared" si="28"/>
        <v>Completed</v>
      </c>
    </row>
    <row r="421" spans="1:22" x14ac:dyDescent="0.3">
      <c r="A421" s="2">
        <v>420</v>
      </c>
      <c r="B421" s="1">
        <v>46077</v>
      </c>
      <c r="C421" s="2" t="s">
        <v>5</v>
      </c>
      <c r="D421">
        <v>577</v>
      </c>
      <c r="E421">
        <v>675</v>
      </c>
      <c r="F421">
        <v>3492</v>
      </c>
      <c r="G421">
        <v>3907</v>
      </c>
      <c r="H421">
        <v>2321</v>
      </c>
      <c r="I421">
        <v>0.40340821399999999</v>
      </c>
      <c r="J421">
        <v>2.6842744289999998</v>
      </c>
      <c r="K421">
        <v>3602</v>
      </c>
      <c r="L421">
        <v>1281</v>
      </c>
      <c r="M421" s="2">
        <v>3</v>
      </c>
      <c r="N421">
        <v>0.60543999999999998</v>
      </c>
      <c r="O421">
        <v>0.85127186499999996</v>
      </c>
      <c r="P421" t="b">
        <v>0</v>
      </c>
      <c r="Q421">
        <v>9.627964E-2</v>
      </c>
      <c r="R421" s="2">
        <v>1</v>
      </c>
      <c r="S421" s="2" t="str">
        <f t="shared" si="25"/>
        <v>Feb</v>
      </c>
      <c r="T421">
        <f t="shared" si="26"/>
        <v>2026</v>
      </c>
      <c r="U421" s="2" t="str">
        <f t="shared" si="27"/>
        <v>Q1</v>
      </c>
      <c r="V421" t="str">
        <f t="shared" si="28"/>
        <v>Completed</v>
      </c>
    </row>
    <row r="422" spans="1:22" x14ac:dyDescent="0.3">
      <c r="A422" s="2">
        <v>421</v>
      </c>
      <c r="B422" s="1">
        <v>46078</v>
      </c>
      <c r="C422" s="2" t="s">
        <v>5</v>
      </c>
      <c r="D422">
        <v>2515</v>
      </c>
      <c r="E422">
        <v>2435</v>
      </c>
      <c r="F422">
        <v>302</v>
      </c>
      <c r="G422">
        <v>2660</v>
      </c>
      <c r="H422">
        <v>1069</v>
      </c>
      <c r="I422">
        <v>0.59958394299999995</v>
      </c>
      <c r="J422">
        <v>1.8486356349999999</v>
      </c>
      <c r="K422">
        <v>2684</v>
      </c>
      <c r="L422">
        <v>2838</v>
      </c>
      <c r="M422" s="2">
        <v>2</v>
      </c>
      <c r="N422">
        <v>1.583272011</v>
      </c>
      <c r="O422">
        <v>0.88994052800000001</v>
      </c>
      <c r="P422" t="b">
        <v>0</v>
      </c>
      <c r="Q422">
        <v>0.49243663100000001</v>
      </c>
      <c r="R422" s="2">
        <v>1</v>
      </c>
      <c r="S422" s="2" t="str">
        <f t="shared" si="25"/>
        <v>Feb</v>
      </c>
      <c r="T422">
        <f t="shared" si="26"/>
        <v>2026</v>
      </c>
      <c r="U422" s="2" t="str">
        <f t="shared" si="27"/>
        <v>Q1</v>
      </c>
      <c r="V422" t="str">
        <f t="shared" si="28"/>
        <v>Completed</v>
      </c>
    </row>
    <row r="423" spans="1:22" x14ac:dyDescent="0.3">
      <c r="A423" s="2">
        <v>422</v>
      </c>
      <c r="B423" s="1">
        <v>46079</v>
      </c>
      <c r="C423" s="2" t="s">
        <v>16</v>
      </c>
      <c r="D423">
        <v>2354</v>
      </c>
      <c r="E423">
        <v>1421</v>
      </c>
      <c r="F423">
        <v>1150</v>
      </c>
      <c r="G423">
        <v>744</v>
      </c>
      <c r="H423">
        <v>2757</v>
      </c>
      <c r="I423">
        <v>0.25975751400000002</v>
      </c>
      <c r="J423">
        <v>1.849035427</v>
      </c>
      <c r="K423">
        <v>3949</v>
      </c>
      <c r="L423">
        <v>807</v>
      </c>
      <c r="M423" s="2">
        <v>6</v>
      </c>
      <c r="N423">
        <v>1.4073925380000001</v>
      </c>
      <c r="O423">
        <v>0.88049520000000003</v>
      </c>
      <c r="P423" t="b">
        <v>0</v>
      </c>
      <c r="Q423">
        <v>0.45952575600000001</v>
      </c>
      <c r="R423" s="2">
        <v>1</v>
      </c>
      <c r="S423" s="2" t="str">
        <f t="shared" si="25"/>
        <v>Feb</v>
      </c>
      <c r="T423">
        <f t="shared" si="26"/>
        <v>2026</v>
      </c>
      <c r="U423" s="2" t="str">
        <f t="shared" si="27"/>
        <v>Q1</v>
      </c>
      <c r="V423" t="str">
        <f t="shared" si="28"/>
        <v>Completed</v>
      </c>
    </row>
    <row r="424" spans="1:22" x14ac:dyDescent="0.3">
      <c r="A424" s="2">
        <v>423</v>
      </c>
      <c r="B424" s="1">
        <v>46080</v>
      </c>
      <c r="C424" s="2" t="s">
        <v>18</v>
      </c>
      <c r="D424">
        <v>229</v>
      </c>
      <c r="E424">
        <v>1394</v>
      </c>
      <c r="F424">
        <v>1513</v>
      </c>
      <c r="G424">
        <v>4244</v>
      </c>
      <c r="H424">
        <v>3438</v>
      </c>
      <c r="I424">
        <v>0.29919172500000002</v>
      </c>
      <c r="J424">
        <v>2.445840633</v>
      </c>
      <c r="K424">
        <v>3364</v>
      </c>
      <c r="L424">
        <v>1553</v>
      </c>
      <c r="M424" s="2">
        <v>6</v>
      </c>
      <c r="N424">
        <v>1.254425315</v>
      </c>
      <c r="O424">
        <v>0.87792957900000002</v>
      </c>
      <c r="P424" t="b">
        <v>0</v>
      </c>
      <c r="Q424">
        <v>2.5143090999999999E-2</v>
      </c>
      <c r="R424" s="2">
        <v>1</v>
      </c>
      <c r="S424" s="2" t="str">
        <f t="shared" si="25"/>
        <v>Feb</v>
      </c>
      <c r="T424">
        <f t="shared" si="26"/>
        <v>2026</v>
      </c>
      <c r="U424" s="2" t="str">
        <f t="shared" si="27"/>
        <v>Q1</v>
      </c>
      <c r="V424" t="str">
        <f t="shared" si="28"/>
        <v>Completed</v>
      </c>
    </row>
    <row r="425" spans="1:22" x14ac:dyDescent="0.3">
      <c r="A425" s="2">
        <v>424</v>
      </c>
      <c r="B425" s="1">
        <v>46081</v>
      </c>
      <c r="C425" s="2" t="s">
        <v>18</v>
      </c>
      <c r="D425">
        <v>1988</v>
      </c>
      <c r="E425">
        <v>3854</v>
      </c>
      <c r="F425">
        <v>653</v>
      </c>
      <c r="G425">
        <v>382</v>
      </c>
      <c r="H425">
        <v>2555</v>
      </c>
      <c r="I425">
        <v>0.231327913</v>
      </c>
      <c r="J425">
        <v>0.872730742</v>
      </c>
      <c r="K425">
        <v>1689</v>
      </c>
      <c r="L425">
        <v>3400</v>
      </c>
      <c r="M425" s="2">
        <v>4</v>
      </c>
      <c r="N425">
        <v>1.6322956239999999</v>
      </c>
      <c r="O425">
        <v>0.96862031000000004</v>
      </c>
      <c r="P425" t="b">
        <v>0</v>
      </c>
      <c r="Q425">
        <v>0.38470973000000003</v>
      </c>
      <c r="R425" s="2">
        <v>1</v>
      </c>
      <c r="S425" s="2" t="str">
        <f t="shared" si="25"/>
        <v>Feb</v>
      </c>
      <c r="T425">
        <f t="shared" si="26"/>
        <v>2026</v>
      </c>
      <c r="U425" s="2" t="str">
        <f t="shared" si="27"/>
        <v>Q1</v>
      </c>
      <c r="V425" t="str">
        <f t="shared" si="28"/>
        <v>Completed</v>
      </c>
    </row>
    <row r="426" spans="1:22" x14ac:dyDescent="0.3">
      <c r="A426" s="2">
        <v>425</v>
      </c>
      <c r="B426" s="1">
        <v>46082</v>
      </c>
      <c r="C426" s="2" t="s">
        <v>17</v>
      </c>
      <c r="D426">
        <v>558</v>
      </c>
      <c r="E426">
        <v>3967</v>
      </c>
      <c r="F426">
        <v>2446</v>
      </c>
      <c r="G426">
        <v>2357</v>
      </c>
      <c r="H426">
        <v>697</v>
      </c>
      <c r="I426">
        <v>0.52743682199999997</v>
      </c>
      <c r="J426">
        <v>1.7059296580000001</v>
      </c>
      <c r="K426">
        <v>2294</v>
      </c>
      <c r="L426">
        <v>1287</v>
      </c>
      <c r="M426" s="2">
        <v>7</v>
      </c>
      <c r="N426">
        <v>1.4743492600000001</v>
      </c>
      <c r="O426">
        <v>0.94574996899999997</v>
      </c>
      <c r="P426" t="b">
        <v>0</v>
      </c>
      <c r="Q426">
        <v>9.2395748E-2</v>
      </c>
      <c r="R426" s="2">
        <v>1</v>
      </c>
      <c r="S426" s="2" t="str">
        <f t="shared" si="25"/>
        <v>Mar</v>
      </c>
      <c r="T426">
        <f t="shared" si="26"/>
        <v>2026</v>
      </c>
      <c r="U426" s="2" t="str">
        <f t="shared" si="27"/>
        <v>Q1</v>
      </c>
      <c r="V426" t="str">
        <f t="shared" si="28"/>
        <v>Completed</v>
      </c>
    </row>
    <row r="427" spans="1:22" x14ac:dyDescent="0.3">
      <c r="A427" s="2">
        <v>426</v>
      </c>
      <c r="B427" s="1">
        <v>46083</v>
      </c>
      <c r="C427" s="2" t="s">
        <v>17</v>
      </c>
      <c r="D427">
        <v>4252</v>
      </c>
      <c r="E427">
        <v>4368</v>
      </c>
      <c r="F427">
        <v>3233</v>
      </c>
      <c r="G427">
        <v>4521</v>
      </c>
      <c r="H427">
        <v>200</v>
      </c>
      <c r="I427">
        <v>0.330785934</v>
      </c>
      <c r="J427">
        <v>2.0971841850000001</v>
      </c>
      <c r="K427">
        <v>944</v>
      </c>
      <c r="L427">
        <v>145</v>
      </c>
      <c r="M427" s="2">
        <v>3</v>
      </c>
      <c r="N427">
        <v>0.98447949800000001</v>
      </c>
      <c r="O427">
        <v>0.99156144300000004</v>
      </c>
      <c r="P427" t="b">
        <v>0</v>
      </c>
      <c r="Q427">
        <v>0.84750613200000002</v>
      </c>
      <c r="R427" s="2">
        <v>1</v>
      </c>
      <c r="S427" s="2" t="str">
        <f t="shared" si="25"/>
        <v>Mar</v>
      </c>
      <c r="T427">
        <f t="shared" si="26"/>
        <v>2026</v>
      </c>
      <c r="U427" s="2" t="str">
        <f t="shared" si="27"/>
        <v>Q1</v>
      </c>
      <c r="V427" t="str">
        <f t="shared" si="28"/>
        <v>Completed</v>
      </c>
    </row>
    <row r="428" spans="1:22" x14ac:dyDescent="0.3">
      <c r="A428" s="2">
        <v>427</v>
      </c>
      <c r="B428" s="1">
        <v>46084</v>
      </c>
      <c r="C428" s="2" t="s">
        <v>16</v>
      </c>
      <c r="D428">
        <v>1144</v>
      </c>
      <c r="E428">
        <v>854</v>
      </c>
      <c r="F428">
        <v>3181</v>
      </c>
      <c r="G428">
        <v>4731</v>
      </c>
      <c r="H428">
        <v>1189</v>
      </c>
      <c r="I428">
        <v>0.56233865999999999</v>
      </c>
      <c r="J428">
        <v>2.7518990479999998</v>
      </c>
      <c r="K428">
        <v>1874</v>
      </c>
      <c r="L428">
        <v>3045</v>
      </c>
      <c r="M428" s="2">
        <v>8</v>
      </c>
      <c r="N428">
        <v>1.9437384719999999</v>
      </c>
      <c r="O428">
        <v>0.85990803000000005</v>
      </c>
      <c r="P428" t="b">
        <v>0</v>
      </c>
      <c r="Q428">
        <v>0.21218315600000001</v>
      </c>
      <c r="R428" s="2">
        <v>1</v>
      </c>
      <c r="S428" s="2" t="str">
        <f t="shared" si="25"/>
        <v>Mar</v>
      </c>
      <c r="T428">
        <f t="shared" si="26"/>
        <v>2026</v>
      </c>
      <c r="U428" s="2" t="str">
        <f t="shared" si="27"/>
        <v>Q1</v>
      </c>
      <c r="V428" t="str">
        <f t="shared" si="28"/>
        <v>Completed</v>
      </c>
    </row>
    <row r="429" spans="1:22" x14ac:dyDescent="0.3">
      <c r="A429" s="2">
        <v>428</v>
      </c>
      <c r="B429" s="1">
        <v>46085</v>
      </c>
      <c r="C429" s="2" t="s">
        <v>17</v>
      </c>
      <c r="D429">
        <v>2289</v>
      </c>
      <c r="E429">
        <v>1999</v>
      </c>
      <c r="F429">
        <v>1571</v>
      </c>
      <c r="G429">
        <v>1552</v>
      </c>
      <c r="H429">
        <v>3147</v>
      </c>
      <c r="I429">
        <v>0.56800253000000001</v>
      </c>
      <c r="J429">
        <v>2.7802079129999999</v>
      </c>
      <c r="K429">
        <v>1389</v>
      </c>
      <c r="L429">
        <v>1232</v>
      </c>
      <c r="M429" s="2">
        <v>6</v>
      </c>
      <c r="N429">
        <v>1.9608194990000001</v>
      </c>
      <c r="O429">
        <v>0.81119273700000005</v>
      </c>
      <c r="P429" t="b">
        <v>0</v>
      </c>
      <c r="Q429">
        <v>0.44623875699999999</v>
      </c>
      <c r="R429" s="2">
        <v>1</v>
      </c>
      <c r="S429" s="2" t="str">
        <f t="shared" si="25"/>
        <v>Mar</v>
      </c>
      <c r="T429">
        <f t="shared" si="26"/>
        <v>2026</v>
      </c>
      <c r="U429" s="2" t="str">
        <f t="shared" si="27"/>
        <v>Q1</v>
      </c>
      <c r="V429" t="str">
        <f t="shared" si="28"/>
        <v>Completed</v>
      </c>
    </row>
    <row r="430" spans="1:22" x14ac:dyDescent="0.3">
      <c r="A430" s="2">
        <v>429</v>
      </c>
      <c r="B430" s="1">
        <v>46086</v>
      </c>
      <c r="C430" s="2" t="s">
        <v>5</v>
      </c>
      <c r="D430">
        <v>695</v>
      </c>
      <c r="E430">
        <v>727</v>
      </c>
      <c r="F430">
        <v>3955</v>
      </c>
      <c r="G430">
        <v>3888</v>
      </c>
      <c r="H430">
        <v>1443</v>
      </c>
      <c r="I430">
        <v>0.38883350100000003</v>
      </c>
      <c r="J430">
        <v>2.0641175839999999</v>
      </c>
      <c r="K430">
        <v>2263</v>
      </c>
      <c r="L430">
        <v>2850</v>
      </c>
      <c r="M430" s="2">
        <v>7</v>
      </c>
      <c r="N430">
        <v>0.77578407900000002</v>
      </c>
      <c r="O430">
        <v>0.90812580399999998</v>
      </c>
      <c r="P430" t="b">
        <v>0</v>
      </c>
      <c r="Q430">
        <v>0.120400654</v>
      </c>
      <c r="R430" s="2">
        <v>1</v>
      </c>
      <c r="S430" s="2" t="str">
        <f t="shared" si="25"/>
        <v>Mar</v>
      </c>
      <c r="T430">
        <f t="shared" si="26"/>
        <v>2026</v>
      </c>
      <c r="U430" s="2" t="str">
        <f t="shared" si="27"/>
        <v>Q1</v>
      </c>
      <c r="V430" t="str">
        <f t="shared" si="28"/>
        <v>Completed</v>
      </c>
    </row>
    <row r="431" spans="1:22" x14ac:dyDescent="0.3">
      <c r="A431" s="2">
        <v>430</v>
      </c>
      <c r="B431" s="1">
        <v>46087</v>
      </c>
      <c r="C431" s="2" t="s">
        <v>18</v>
      </c>
      <c r="D431">
        <v>4631</v>
      </c>
      <c r="E431">
        <v>2727</v>
      </c>
      <c r="F431">
        <v>3603</v>
      </c>
      <c r="G431">
        <v>2323</v>
      </c>
      <c r="H431">
        <v>3783</v>
      </c>
      <c r="I431">
        <v>0.59286644799999999</v>
      </c>
      <c r="J431">
        <v>0.557932129</v>
      </c>
      <c r="K431">
        <v>807</v>
      </c>
      <c r="L431">
        <v>3138</v>
      </c>
      <c r="M431" s="2">
        <v>8</v>
      </c>
      <c r="N431">
        <v>0.86446743000000004</v>
      </c>
      <c r="O431">
        <v>0.85966268499999998</v>
      </c>
      <c r="P431" t="b">
        <v>0</v>
      </c>
      <c r="Q431">
        <v>0.92497955799999998</v>
      </c>
      <c r="R431" s="2">
        <v>1</v>
      </c>
      <c r="S431" s="2" t="str">
        <f t="shared" si="25"/>
        <v>Mar</v>
      </c>
      <c r="T431">
        <f t="shared" si="26"/>
        <v>2026</v>
      </c>
      <c r="U431" s="2" t="str">
        <f t="shared" si="27"/>
        <v>Q1</v>
      </c>
      <c r="V431" t="str">
        <f t="shared" si="28"/>
        <v>Completed</v>
      </c>
    </row>
    <row r="432" spans="1:22" x14ac:dyDescent="0.3">
      <c r="A432" s="2">
        <v>431</v>
      </c>
      <c r="B432" s="1">
        <v>46088</v>
      </c>
      <c r="C432" s="2" t="s">
        <v>5</v>
      </c>
      <c r="D432">
        <v>299</v>
      </c>
      <c r="E432">
        <v>2131</v>
      </c>
      <c r="F432">
        <v>3865</v>
      </c>
      <c r="G432">
        <v>3488</v>
      </c>
      <c r="H432">
        <v>2245</v>
      </c>
      <c r="I432">
        <v>0.27498830899999999</v>
      </c>
      <c r="J432">
        <v>2.0872375060000001</v>
      </c>
      <c r="K432">
        <v>1052</v>
      </c>
      <c r="L432">
        <v>3849</v>
      </c>
      <c r="M432" s="2">
        <v>1</v>
      </c>
      <c r="N432">
        <v>1.1366429389999999</v>
      </c>
      <c r="O432">
        <v>0.96400975700000002</v>
      </c>
      <c r="P432" t="b">
        <v>0</v>
      </c>
      <c r="Q432">
        <v>3.9452167000000003E-2</v>
      </c>
      <c r="R432" s="2">
        <v>1</v>
      </c>
      <c r="S432" s="2" t="str">
        <f t="shared" si="25"/>
        <v>Mar</v>
      </c>
      <c r="T432">
        <f t="shared" si="26"/>
        <v>2026</v>
      </c>
      <c r="U432" s="2" t="str">
        <f t="shared" si="27"/>
        <v>Q1</v>
      </c>
      <c r="V432" t="str">
        <f t="shared" si="28"/>
        <v>Completed</v>
      </c>
    </row>
    <row r="433" spans="1:22" x14ac:dyDescent="0.3">
      <c r="A433" s="2">
        <v>432</v>
      </c>
      <c r="B433" s="1">
        <v>46089</v>
      </c>
      <c r="C433" s="2" t="s">
        <v>17</v>
      </c>
      <c r="D433">
        <v>4854</v>
      </c>
      <c r="E433">
        <v>2012</v>
      </c>
      <c r="F433">
        <v>1030</v>
      </c>
      <c r="G433">
        <v>4507</v>
      </c>
      <c r="H433">
        <v>2206</v>
      </c>
      <c r="I433">
        <v>0.30393608100000002</v>
      </c>
      <c r="J433">
        <v>0.51911231400000002</v>
      </c>
      <c r="K433">
        <v>1439</v>
      </c>
      <c r="L433">
        <v>2807</v>
      </c>
      <c r="M433" s="2">
        <v>5</v>
      </c>
      <c r="N433">
        <v>0.65284502300000002</v>
      </c>
      <c r="O433">
        <v>0.80890187800000002</v>
      </c>
      <c r="P433" t="b">
        <v>0</v>
      </c>
      <c r="Q433">
        <v>0.97056418600000005</v>
      </c>
      <c r="R433" s="2">
        <v>1</v>
      </c>
      <c r="S433" s="2" t="str">
        <f t="shared" si="25"/>
        <v>Mar</v>
      </c>
      <c r="T433">
        <f t="shared" si="26"/>
        <v>2026</v>
      </c>
      <c r="U433" s="2" t="str">
        <f t="shared" si="27"/>
        <v>Q1</v>
      </c>
      <c r="V433" t="str">
        <f t="shared" si="28"/>
        <v>Completed</v>
      </c>
    </row>
    <row r="434" spans="1:22" x14ac:dyDescent="0.3">
      <c r="A434" s="2">
        <v>433</v>
      </c>
      <c r="B434" s="1">
        <v>46090</v>
      </c>
      <c r="C434" s="2" t="s">
        <v>16</v>
      </c>
      <c r="D434">
        <v>4772</v>
      </c>
      <c r="E434">
        <v>4355</v>
      </c>
      <c r="F434">
        <v>2227</v>
      </c>
      <c r="G434">
        <v>2747</v>
      </c>
      <c r="H434">
        <v>2616</v>
      </c>
      <c r="I434">
        <v>0.28041277100000001</v>
      </c>
      <c r="J434">
        <v>2.4251582420000002</v>
      </c>
      <c r="K434">
        <v>3453</v>
      </c>
      <c r="L434">
        <v>1487</v>
      </c>
      <c r="M434" s="2">
        <v>8</v>
      </c>
      <c r="N434">
        <v>1.026165105</v>
      </c>
      <c r="O434">
        <v>0.94527113900000004</v>
      </c>
      <c r="P434" t="b">
        <v>0</v>
      </c>
      <c r="Q434">
        <v>0.95380212600000003</v>
      </c>
      <c r="R434" s="2">
        <v>1</v>
      </c>
      <c r="S434" s="2" t="str">
        <f t="shared" si="25"/>
        <v>Mar</v>
      </c>
      <c r="T434">
        <f t="shared" si="26"/>
        <v>2026</v>
      </c>
      <c r="U434" s="2" t="str">
        <f t="shared" si="27"/>
        <v>Q1</v>
      </c>
      <c r="V434" t="str">
        <f t="shared" si="28"/>
        <v>Completed</v>
      </c>
    </row>
    <row r="435" spans="1:22" x14ac:dyDescent="0.3">
      <c r="A435" s="2">
        <v>434</v>
      </c>
      <c r="B435" s="1">
        <v>46091</v>
      </c>
      <c r="C435" s="2" t="s">
        <v>5</v>
      </c>
      <c r="D435">
        <v>1359</v>
      </c>
      <c r="E435">
        <v>1185</v>
      </c>
      <c r="F435">
        <v>428</v>
      </c>
      <c r="G435">
        <v>3029</v>
      </c>
      <c r="H435">
        <v>1895</v>
      </c>
      <c r="I435">
        <v>0.42387200200000003</v>
      </c>
      <c r="J435">
        <v>2.7035063460000002</v>
      </c>
      <c r="K435">
        <v>2712</v>
      </c>
      <c r="L435">
        <v>2939</v>
      </c>
      <c r="M435" s="2">
        <v>7</v>
      </c>
      <c r="N435">
        <v>1.631318158</v>
      </c>
      <c r="O435">
        <v>0.81240042199999996</v>
      </c>
      <c r="P435" t="b">
        <v>0</v>
      </c>
      <c r="Q435">
        <v>0.25613246099999998</v>
      </c>
      <c r="R435" s="2">
        <v>1</v>
      </c>
      <c r="S435" s="2" t="str">
        <f t="shared" si="25"/>
        <v>Mar</v>
      </c>
      <c r="T435">
        <f t="shared" si="26"/>
        <v>2026</v>
      </c>
      <c r="U435" s="2" t="str">
        <f t="shared" si="27"/>
        <v>Q1</v>
      </c>
      <c r="V435" t="str">
        <f t="shared" si="28"/>
        <v>Completed</v>
      </c>
    </row>
    <row r="436" spans="1:22" x14ac:dyDescent="0.3">
      <c r="A436" s="2">
        <v>435</v>
      </c>
      <c r="B436" s="1">
        <v>46092</v>
      </c>
      <c r="C436" s="2" t="s">
        <v>5</v>
      </c>
      <c r="D436">
        <v>1290</v>
      </c>
      <c r="E436">
        <v>1930</v>
      </c>
      <c r="F436">
        <v>3491</v>
      </c>
      <c r="G436">
        <v>552</v>
      </c>
      <c r="H436">
        <v>1467</v>
      </c>
      <c r="I436">
        <v>0.20810809799999999</v>
      </c>
      <c r="J436">
        <v>1.104331787</v>
      </c>
      <c r="K436">
        <v>4837</v>
      </c>
      <c r="L436">
        <v>1041</v>
      </c>
      <c r="M436" s="2">
        <v>8</v>
      </c>
      <c r="N436">
        <v>1.26561781</v>
      </c>
      <c r="O436">
        <v>0.97528906599999998</v>
      </c>
      <c r="P436" t="b">
        <v>0</v>
      </c>
      <c r="Q436">
        <v>0.24202779999999999</v>
      </c>
      <c r="R436" s="2">
        <v>1</v>
      </c>
      <c r="S436" s="2" t="str">
        <f t="shared" si="25"/>
        <v>Mar</v>
      </c>
      <c r="T436">
        <f t="shared" si="26"/>
        <v>2026</v>
      </c>
      <c r="U436" s="2" t="str">
        <f t="shared" si="27"/>
        <v>Q1</v>
      </c>
      <c r="V436" t="str">
        <f t="shared" si="28"/>
        <v>Completed</v>
      </c>
    </row>
    <row r="437" spans="1:22" x14ac:dyDescent="0.3">
      <c r="A437" s="2">
        <v>436</v>
      </c>
      <c r="B437" s="1">
        <v>46093</v>
      </c>
      <c r="C437" s="2" t="s">
        <v>18</v>
      </c>
      <c r="D437">
        <v>591</v>
      </c>
      <c r="E437">
        <v>1765</v>
      </c>
      <c r="F437">
        <v>3123</v>
      </c>
      <c r="G437">
        <v>2760</v>
      </c>
      <c r="H437">
        <v>610</v>
      </c>
      <c r="I437">
        <v>0.65635979899999997</v>
      </c>
      <c r="J437">
        <v>1.5083356990000001</v>
      </c>
      <c r="K437">
        <v>2461</v>
      </c>
      <c r="L437">
        <v>2810</v>
      </c>
      <c r="M437" s="2">
        <v>8</v>
      </c>
      <c r="N437">
        <v>0.63379742299999997</v>
      </c>
      <c r="O437">
        <v>0.95628784300000003</v>
      </c>
      <c r="P437" t="b">
        <v>0</v>
      </c>
      <c r="Q437">
        <v>9.9141455000000003E-2</v>
      </c>
      <c r="R437" s="2">
        <v>1</v>
      </c>
      <c r="S437" s="2" t="str">
        <f t="shared" si="25"/>
        <v>Mar</v>
      </c>
      <c r="T437">
        <f t="shared" si="26"/>
        <v>2026</v>
      </c>
      <c r="U437" s="2" t="str">
        <f t="shared" si="27"/>
        <v>Q1</v>
      </c>
      <c r="V437" t="str">
        <f t="shared" si="28"/>
        <v>Completed</v>
      </c>
    </row>
    <row r="438" spans="1:22" x14ac:dyDescent="0.3">
      <c r="A438" s="2">
        <v>437</v>
      </c>
      <c r="B438" s="1">
        <v>46094</v>
      </c>
      <c r="C438" s="2" t="s">
        <v>18</v>
      </c>
      <c r="D438">
        <v>4509</v>
      </c>
      <c r="E438">
        <v>2712</v>
      </c>
      <c r="F438">
        <v>2461</v>
      </c>
      <c r="G438">
        <v>1448</v>
      </c>
      <c r="H438">
        <v>1127</v>
      </c>
      <c r="I438">
        <v>0.34021145400000002</v>
      </c>
      <c r="J438">
        <v>2.9185747289999999</v>
      </c>
      <c r="K438">
        <v>1101</v>
      </c>
      <c r="L438">
        <v>1008</v>
      </c>
      <c r="M438" s="2">
        <v>5</v>
      </c>
      <c r="N438">
        <v>1.5262412759999999</v>
      </c>
      <c r="O438">
        <v>0.95494447500000001</v>
      </c>
      <c r="P438" t="b">
        <v>0</v>
      </c>
      <c r="Q438">
        <v>0.90004088299999996</v>
      </c>
      <c r="R438" s="2">
        <v>1</v>
      </c>
      <c r="S438" s="2" t="str">
        <f t="shared" si="25"/>
        <v>Mar</v>
      </c>
      <c r="T438">
        <f t="shared" si="26"/>
        <v>2026</v>
      </c>
      <c r="U438" s="2" t="str">
        <f t="shared" si="27"/>
        <v>Q1</v>
      </c>
      <c r="V438" t="str">
        <f t="shared" si="28"/>
        <v>Completed</v>
      </c>
    </row>
    <row r="439" spans="1:22" x14ac:dyDescent="0.3">
      <c r="A439" s="2">
        <v>438</v>
      </c>
      <c r="B439" s="1">
        <v>46095</v>
      </c>
      <c r="C439" s="2" t="s">
        <v>16</v>
      </c>
      <c r="D439">
        <v>3844</v>
      </c>
      <c r="E439">
        <v>3189</v>
      </c>
      <c r="F439">
        <v>833</v>
      </c>
      <c r="G439">
        <v>2359</v>
      </c>
      <c r="H439">
        <v>3073</v>
      </c>
      <c r="I439">
        <v>0.48017076199999997</v>
      </c>
      <c r="J439">
        <v>1.4563841500000001</v>
      </c>
      <c r="K439">
        <v>122</v>
      </c>
      <c r="L439">
        <v>1068</v>
      </c>
      <c r="M439" s="2">
        <v>1</v>
      </c>
      <c r="N439">
        <v>1.766136248</v>
      </c>
      <c r="O439">
        <v>0.96608569600000005</v>
      </c>
      <c r="P439" t="b">
        <v>1</v>
      </c>
      <c r="Q439">
        <v>0.76410466099999996</v>
      </c>
      <c r="R439" s="2">
        <v>1</v>
      </c>
      <c r="S439" s="2" t="str">
        <f t="shared" si="25"/>
        <v>Mar</v>
      </c>
      <c r="T439">
        <f t="shared" si="26"/>
        <v>2026</v>
      </c>
      <c r="U439" s="2" t="str">
        <f t="shared" si="27"/>
        <v>Q1</v>
      </c>
      <c r="V439" t="str">
        <f t="shared" si="28"/>
        <v>Completed</v>
      </c>
    </row>
    <row r="440" spans="1:22" x14ac:dyDescent="0.3">
      <c r="A440" s="2">
        <v>439</v>
      </c>
      <c r="B440" s="1">
        <v>46096</v>
      </c>
      <c r="C440" s="2" t="s">
        <v>17</v>
      </c>
      <c r="D440">
        <v>2096</v>
      </c>
      <c r="E440">
        <v>2478</v>
      </c>
      <c r="F440">
        <v>624</v>
      </c>
      <c r="G440">
        <v>4959</v>
      </c>
      <c r="H440">
        <v>2714</v>
      </c>
      <c r="I440">
        <v>0.35573063399999999</v>
      </c>
      <c r="J440">
        <v>0.75094011000000005</v>
      </c>
      <c r="K440">
        <v>158</v>
      </c>
      <c r="L440">
        <v>2456</v>
      </c>
      <c r="M440" s="2">
        <v>1</v>
      </c>
      <c r="N440">
        <v>0.96247611600000005</v>
      </c>
      <c r="O440">
        <v>0.94729684300000006</v>
      </c>
      <c r="P440" t="b">
        <v>0</v>
      </c>
      <c r="Q440">
        <v>0.40678659</v>
      </c>
      <c r="R440" s="2">
        <v>1</v>
      </c>
      <c r="S440" s="2" t="str">
        <f t="shared" si="25"/>
        <v>Mar</v>
      </c>
      <c r="T440">
        <f t="shared" si="26"/>
        <v>2026</v>
      </c>
      <c r="U440" s="2" t="str">
        <f t="shared" si="27"/>
        <v>Q1</v>
      </c>
      <c r="V440" t="str">
        <f t="shared" si="28"/>
        <v>Completed</v>
      </c>
    </row>
    <row r="441" spans="1:22" x14ac:dyDescent="0.3">
      <c r="A441" s="2">
        <v>440</v>
      </c>
      <c r="B441" s="1">
        <v>46097</v>
      </c>
      <c r="C441" s="2" t="s">
        <v>16</v>
      </c>
      <c r="D441">
        <v>2992</v>
      </c>
      <c r="E441">
        <v>1656</v>
      </c>
      <c r="F441">
        <v>2865</v>
      </c>
      <c r="G441">
        <v>481</v>
      </c>
      <c r="H441">
        <v>1392</v>
      </c>
      <c r="I441">
        <v>0.54234185899999998</v>
      </c>
      <c r="J441">
        <v>1.4392570179999999</v>
      </c>
      <c r="K441">
        <v>4871</v>
      </c>
      <c r="L441">
        <v>2195</v>
      </c>
      <c r="M441" s="2">
        <v>9</v>
      </c>
      <c r="N441">
        <v>0.81255603499999995</v>
      </c>
      <c r="O441">
        <v>0.82859606799999996</v>
      </c>
      <c r="P441" t="b">
        <v>0</v>
      </c>
      <c r="Q441">
        <v>0.58994276400000001</v>
      </c>
      <c r="R441" s="2">
        <v>1</v>
      </c>
      <c r="S441" s="2" t="str">
        <f t="shared" si="25"/>
        <v>Mar</v>
      </c>
      <c r="T441">
        <f t="shared" si="26"/>
        <v>2026</v>
      </c>
      <c r="U441" s="2" t="str">
        <f t="shared" si="27"/>
        <v>Q1</v>
      </c>
      <c r="V441" t="str">
        <f t="shared" si="28"/>
        <v>Completed</v>
      </c>
    </row>
    <row r="442" spans="1:22" x14ac:dyDescent="0.3">
      <c r="A442" s="2">
        <v>441</v>
      </c>
      <c r="B442" s="1">
        <v>46098</v>
      </c>
      <c r="C442" s="2" t="s">
        <v>16</v>
      </c>
      <c r="D442">
        <v>726</v>
      </c>
      <c r="E442">
        <v>3402</v>
      </c>
      <c r="F442">
        <v>2845</v>
      </c>
      <c r="G442">
        <v>896</v>
      </c>
      <c r="H442">
        <v>614</v>
      </c>
      <c r="I442">
        <v>0.575781981</v>
      </c>
      <c r="J442">
        <v>1.9888946839999999</v>
      </c>
      <c r="K442">
        <v>892</v>
      </c>
      <c r="L442">
        <v>3129</v>
      </c>
      <c r="M442" s="2">
        <v>7</v>
      </c>
      <c r="N442">
        <v>1.8626685999999999</v>
      </c>
      <c r="O442">
        <v>0.80951653300000004</v>
      </c>
      <c r="P442" t="b">
        <v>0</v>
      </c>
      <c r="Q442">
        <v>0.12673753099999999</v>
      </c>
      <c r="R442" s="2">
        <v>1</v>
      </c>
      <c r="S442" s="2" t="str">
        <f t="shared" si="25"/>
        <v>Mar</v>
      </c>
      <c r="T442">
        <f t="shared" si="26"/>
        <v>2026</v>
      </c>
      <c r="U442" s="2" t="str">
        <f t="shared" si="27"/>
        <v>Q1</v>
      </c>
      <c r="V442" t="str">
        <f t="shared" si="28"/>
        <v>Completed</v>
      </c>
    </row>
    <row r="443" spans="1:22" x14ac:dyDescent="0.3">
      <c r="A443" s="2">
        <v>442</v>
      </c>
      <c r="B443" s="1">
        <v>46099</v>
      </c>
      <c r="C443" s="2" t="s">
        <v>5</v>
      </c>
      <c r="D443">
        <v>4985</v>
      </c>
      <c r="E443">
        <v>3412</v>
      </c>
      <c r="F443">
        <v>942</v>
      </c>
      <c r="G443">
        <v>3096</v>
      </c>
      <c r="H443">
        <v>922</v>
      </c>
      <c r="I443">
        <v>0.63244604299999996</v>
      </c>
      <c r="J443">
        <v>1.9395944249999999</v>
      </c>
      <c r="K443">
        <v>3283</v>
      </c>
      <c r="L443">
        <v>2217</v>
      </c>
      <c r="M443" s="2">
        <v>5</v>
      </c>
      <c r="N443">
        <v>0.64997914499999998</v>
      </c>
      <c r="O443">
        <v>0.92701277900000001</v>
      </c>
      <c r="P443" t="b">
        <v>0</v>
      </c>
      <c r="Q443">
        <v>0.99734259999999997</v>
      </c>
      <c r="R443" s="2">
        <v>1</v>
      </c>
      <c r="S443" s="2" t="str">
        <f t="shared" si="25"/>
        <v>Mar</v>
      </c>
      <c r="T443">
        <f t="shared" si="26"/>
        <v>2026</v>
      </c>
      <c r="U443" s="2" t="str">
        <f t="shared" si="27"/>
        <v>Q1</v>
      </c>
      <c r="V443" t="str">
        <f t="shared" si="28"/>
        <v>Completed</v>
      </c>
    </row>
    <row r="444" spans="1:22" x14ac:dyDescent="0.3">
      <c r="A444" s="2">
        <v>443</v>
      </c>
      <c r="B444" s="1">
        <v>46100</v>
      </c>
      <c r="C444" s="2" t="s">
        <v>17</v>
      </c>
      <c r="D444">
        <v>957</v>
      </c>
      <c r="E444">
        <v>855</v>
      </c>
      <c r="F444">
        <v>2030</v>
      </c>
      <c r="G444">
        <v>1255</v>
      </c>
      <c r="H444">
        <v>568</v>
      </c>
      <c r="I444">
        <v>0.48999324</v>
      </c>
      <c r="J444">
        <v>2.1733335380000001</v>
      </c>
      <c r="K444">
        <v>2934</v>
      </c>
      <c r="L444">
        <v>2983</v>
      </c>
      <c r="M444" s="2">
        <v>3</v>
      </c>
      <c r="N444">
        <v>1.768351607</v>
      </c>
      <c r="O444">
        <v>0.96676035199999999</v>
      </c>
      <c r="P444" t="b">
        <v>0</v>
      </c>
      <c r="Q444">
        <v>0.173957482</v>
      </c>
      <c r="R444" s="2">
        <v>1</v>
      </c>
      <c r="S444" s="2" t="str">
        <f t="shared" si="25"/>
        <v>Mar</v>
      </c>
      <c r="T444">
        <f t="shared" si="26"/>
        <v>2026</v>
      </c>
      <c r="U444" s="2" t="str">
        <f t="shared" si="27"/>
        <v>Q1</v>
      </c>
      <c r="V444" t="str">
        <f t="shared" si="28"/>
        <v>Completed</v>
      </c>
    </row>
    <row r="445" spans="1:22" x14ac:dyDescent="0.3">
      <c r="A445" s="2">
        <v>444</v>
      </c>
      <c r="B445" s="1">
        <v>46101</v>
      </c>
      <c r="C445" s="2" t="s">
        <v>18</v>
      </c>
      <c r="D445">
        <v>3585</v>
      </c>
      <c r="E445">
        <v>2912</v>
      </c>
      <c r="F445">
        <v>2672</v>
      </c>
      <c r="G445">
        <v>3555</v>
      </c>
      <c r="H445">
        <v>1561</v>
      </c>
      <c r="I445">
        <v>0.76445044799999995</v>
      </c>
      <c r="J445">
        <v>2.28382576</v>
      </c>
      <c r="K445">
        <v>3683</v>
      </c>
      <c r="L445">
        <v>1487</v>
      </c>
      <c r="M445" s="2">
        <v>2</v>
      </c>
      <c r="N445">
        <v>0.83839083700000006</v>
      </c>
      <c r="O445">
        <v>0.95207019699999995</v>
      </c>
      <c r="P445" t="b">
        <v>0</v>
      </c>
      <c r="Q445">
        <v>0.71116107900000003</v>
      </c>
      <c r="R445" s="2">
        <v>1</v>
      </c>
      <c r="S445" s="2" t="str">
        <f t="shared" si="25"/>
        <v>Mar</v>
      </c>
      <c r="T445">
        <f t="shared" si="26"/>
        <v>2026</v>
      </c>
      <c r="U445" s="2" t="str">
        <f t="shared" si="27"/>
        <v>Q1</v>
      </c>
      <c r="V445" t="str">
        <f t="shared" si="28"/>
        <v>Completed</v>
      </c>
    </row>
    <row r="446" spans="1:22" x14ac:dyDescent="0.3">
      <c r="A446" s="2">
        <v>445</v>
      </c>
      <c r="B446" s="1">
        <v>46102</v>
      </c>
      <c r="C446" s="2" t="s">
        <v>18</v>
      </c>
      <c r="D446">
        <v>3433</v>
      </c>
      <c r="E446">
        <v>975</v>
      </c>
      <c r="F446">
        <v>873</v>
      </c>
      <c r="G446">
        <v>2734</v>
      </c>
      <c r="H446">
        <v>3668</v>
      </c>
      <c r="I446">
        <v>0.62652095900000004</v>
      </c>
      <c r="J446">
        <v>2.99622688</v>
      </c>
      <c r="K446">
        <v>4433</v>
      </c>
      <c r="L446">
        <v>714</v>
      </c>
      <c r="M446" s="2">
        <v>2</v>
      </c>
      <c r="N446">
        <v>0.886692178</v>
      </c>
      <c r="O446">
        <v>0.80141460900000006</v>
      </c>
      <c r="P446" t="b">
        <v>0</v>
      </c>
      <c r="Q446">
        <v>0.68008994300000003</v>
      </c>
      <c r="R446" s="2">
        <v>1</v>
      </c>
      <c r="S446" s="2" t="str">
        <f t="shared" si="25"/>
        <v>Mar</v>
      </c>
      <c r="T446">
        <f t="shared" si="26"/>
        <v>2026</v>
      </c>
      <c r="U446" s="2" t="str">
        <f t="shared" si="27"/>
        <v>Q1</v>
      </c>
      <c r="V446" t="str">
        <f t="shared" si="28"/>
        <v>Completed</v>
      </c>
    </row>
    <row r="447" spans="1:22" x14ac:dyDescent="0.3">
      <c r="A447" s="2">
        <v>446</v>
      </c>
      <c r="B447" s="1">
        <v>46103</v>
      </c>
      <c r="C447" s="2" t="s">
        <v>17</v>
      </c>
      <c r="D447">
        <v>4632</v>
      </c>
      <c r="E447">
        <v>806</v>
      </c>
      <c r="F447">
        <v>3589</v>
      </c>
      <c r="G447">
        <v>4471</v>
      </c>
      <c r="H447">
        <v>287</v>
      </c>
      <c r="I447">
        <v>0.53547911500000001</v>
      </c>
      <c r="J447">
        <v>1.367031613</v>
      </c>
      <c r="K447">
        <v>181</v>
      </c>
      <c r="L447">
        <v>3945</v>
      </c>
      <c r="M447" s="2">
        <v>4</v>
      </c>
      <c r="N447">
        <v>0.57559043399999998</v>
      </c>
      <c r="O447">
        <v>0.89540305499999995</v>
      </c>
      <c r="P447" t="b">
        <v>0</v>
      </c>
      <c r="Q447">
        <v>0.92518397399999996</v>
      </c>
      <c r="R447" s="2">
        <v>1</v>
      </c>
      <c r="S447" s="2" t="str">
        <f t="shared" si="25"/>
        <v>Mar</v>
      </c>
      <c r="T447">
        <f t="shared" si="26"/>
        <v>2026</v>
      </c>
      <c r="U447" s="2" t="str">
        <f t="shared" si="27"/>
        <v>Q1</v>
      </c>
      <c r="V447" t="str">
        <f t="shared" si="28"/>
        <v>Completed</v>
      </c>
    </row>
    <row r="448" spans="1:22" x14ac:dyDescent="0.3">
      <c r="A448" s="2">
        <v>447</v>
      </c>
      <c r="B448" s="1">
        <v>46104</v>
      </c>
      <c r="C448" s="2" t="s">
        <v>17</v>
      </c>
      <c r="D448">
        <v>1288</v>
      </c>
      <c r="E448">
        <v>751</v>
      </c>
      <c r="F448">
        <v>2001</v>
      </c>
      <c r="G448">
        <v>397</v>
      </c>
      <c r="H448">
        <v>2940</v>
      </c>
      <c r="I448">
        <v>0.50074647999999999</v>
      </c>
      <c r="J448">
        <v>2.1924630139999999</v>
      </c>
      <c r="K448">
        <v>1037</v>
      </c>
      <c r="L448">
        <v>3775</v>
      </c>
      <c r="M448" s="2">
        <v>1</v>
      </c>
      <c r="N448">
        <v>1.74839777</v>
      </c>
      <c r="O448">
        <v>0.96034829300000002</v>
      </c>
      <c r="P448" t="b">
        <v>0</v>
      </c>
      <c r="Q448">
        <v>0.24161896999999999</v>
      </c>
      <c r="R448" s="2">
        <v>1</v>
      </c>
      <c r="S448" s="2" t="str">
        <f t="shared" si="25"/>
        <v>Mar</v>
      </c>
      <c r="T448">
        <f t="shared" si="26"/>
        <v>2026</v>
      </c>
      <c r="U448" s="2" t="str">
        <f t="shared" si="27"/>
        <v>Q1</v>
      </c>
      <c r="V448" t="str">
        <f t="shared" si="28"/>
        <v>Completed</v>
      </c>
    </row>
    <row r="449" spans="1:22" x14ac:dyDescent="0.3">
      <c r="A449" s="2">
        <v>448</v>
      </c>
      <c r="B449" s="1">
        <v>46105</v>
      </c>
      <c r="C449" s="2" t="s">
        <v>18</v>
      </c>
      <c r="D449">
        <v>1204</v>
      </c>
      <c r="E449">
        <v>2974</v>
      </c>
      <c r="F449">
        <v>464</v>
      </c>
      <c r="G449">
        <v>419</v>
      </c>
      <c r="H449">
        <v>3256</v>
      </c>
      <c r="I449">
        <v>0.230286037</v>
      </c>
      <c r="J449">
        <v>1.3691419330000001</v>
      </c>
      <c r="K449">
        <v>1356</v>
      </c>
      <c r="L449">
        <v>3352</v>
      </c>
      <c r="M449" s="2">
        <v>8</v>
      </c>
      <c r="N449">
        <v>1.4403224059999999</v>
      </c>
      <c r="O449">
        <v>0.81251548299999998</v>
      </c>
      <c r="P449" t="b">
        <v>0</v>
      </c>
      <c r="Q449">
        <v>0.224448078</v>
      </c>
      <c r="R449" s="2">
        <v>1</v>
      </c>
      <c r="S449" s="2" t="str">
        <f t="shared" si="25"/>
        <v>Mar</v>
      </c>
      <c r="T449">
        <f t="shared" si="26"/>
        <v>2026</v>
      </c>
      <c r="U449" s="2" t="str">
        <f t="shared" si="27"/>
        <v>Q1</v>
      </c>
      <c r="V449" t="str">
        <f t="shared" si="28"/>
        <v>Completed</v>
      </c>
    </row>
    <row r="450" spans="1:22" x14ac:dyDescent="0.3">
      <c r="A450" s="2">
        <v>449</v>
      </c>
      <c r="B450" s="1">
        <v>46106</v>
      </c>
      <c r="C450" s="2" t="s">
        <v>17</v>
      </c>
      <c r="D450">
        <v>4720</v>
      </c>
      <c r="E450">
        <v>2591</v>
      </c>
      <c r="F450">
        <v>3780</v>
      </c>
      <c r="G450">
        <v>4194</v>
      </c>
      <c r="H450">
        <v>2072</v>
      </c>
      <c r="I450">
        <v>0.487333026</v>
      </c>
      <c r="J450">
        <v>1.7218222599999999</v>
      </c>
      <c r="K450">
        <v>2819</v>
      </c>
      <c r="L450">
        <v>3976</v>
      </c>
      <c r="M450" s="2">
        <v>7</v>
      </c>
      <c r="N450">
        <v>0.60284921899999999</v>
      </c>
      <c r="O450">
        <v>0.88396229900000001</v>
      </c>
      <c r="P450" t="b">
        <v>0</v>
      </c>
      <c r="Q450">
        <v>0.94317252699999998</v>
      </c>
      <c r="R450" s="2">
        <v>1</v>
      </c>
      <c r="S450" s="2" t="str">
        <f t="shared" ref="S450:S513" si="29">TEXT(B450,"MMM")</f>
        <v>Mar</v>
      </c>
      <c r="T450">
        <f t="shared" ref="T450:T513" si="30">YEAR(B450)</f>
        <v>2026</v>
      </c>
      <c r="U450" s="2" t="str">
        <f t="shared" si="27"/>
        <v>Q1</v>
      </c>
      <c r="V450" t="str">
        <f t="shared" si="28"/>
        <v>Completed</v>
      </c>
    </row>
    <row r="451" spans="1:22" x14ac:dyDescent="0.3">
      <c r="A451" s="2">
        <v>450</v>
      </c>
      <c r="B451" s="1">
        <v>46107</v>
      </c>
      <c r="C451" s="2" t="s">
        <v>18</v>
      </c>
      <c r="D451">
        <v>3990</v>
      </c>
      <c r="E451">
        <v>3734</v>
      </c>
      <c r="F451">
        <v>3919</v>
      </c>
      <c r="G451">
        <v>4610</v>
      </c>
      <c r="H451">
        <v>1752</v>
      </c>
      <c r="I451">
        <v>0.27190742099999998</v>
      </c>
      <c r="J451">
        <v>2.4416366809999999</v>
      </c>
      <c r="K451">
        <v>2569</v>
      </c>
      <c r="L451">
        <v>2326</v>
      </c>
      <c r="M451" s="2">
        <v>4</v>
      </c>
      <c r="N451">
        <v>1.5847260480000001</v>
      </c>
      <c r="O451">
        <v>0.86006701399999996</v>
      </c>
      <c r="P451" t="b">
        <v>0</v>
      </c>
      <c r="Q451">
        <v>0.79394930500000005</v>
      </c>
      <c r="R451" s="2">
        <v>1</v>
      </c>
      <c r="S451" s="2" t="str">
        <f t="shared" si="29"/>
        <v>Mar</v>
      </c>
      <c r="T451">
        <f t="shared" si="30"/>
        <v>2026</v>
      </c>
      <c r="U451" s="2" t="str">
        <f t="shared" ref="U451:U514" si="31">"Q"&amp;ROUNDUP(MONTH(B451)/3,0)</f>
        <v>Q1</v>
      </c>
      <c r="V451" t="str">
        <f t="shared" si="28"/>
        <v>Completed</v>
      </c>
    </row>
    <row r="452" spans="1:22" x14ac:dyDescent="0.3">
      <c r="A452" s="2">
        <v>451</v>
      </c>
      <c r="B452" s="1">
        <v>46108</v>
      </c>
      <c r="C452" s="2" t="s">
        <v>17</v>
      </c>
      <c r="D452">
        <v>1288</v>
      </c>
      <c r="E452">
        <v>862</v>
      </c>
      <c r="F452">
        <v>1165</v>
      </c>
      <c r="G452">
        <v>4739</v>
      </c>
      <c r="H452">
        <v>3857</v>
      </c>
      <c r="I452">
        <v>0.34809031499999998</v>
      </c>
      <c r="J452">
        <v>0.65465496400000001</v>
      </c>
      <c r="K452">
        <v>4585</v>
      </c>
      <c r="L452">
        <v>1357</v>
      </c>
      <c r="M452" s="2">
        <v>8</v>
      </c>
      <c r="N452">
        <v>1.157757317</v>
      </c>
      <c r="O452">
        <v>0.87055639699999998</v>
      </c>
      <c r="P452" t="b">
        <v>0</v>
      </c>
      <c r="Q452">
        <v>0.24161896999999999</v>
      </c>
      <c r="R452" s="2">
        <v>1</v>
      </c>
      <c r="S452" s="2" t="str">
        <f t="shared" si="29"/>
        <v>Mar</v>
      </c>
      <c r="T452">
        <f t="shared" si="30"/>
        <v>2026</v>
      </c>
      <c r="U452" s="2" t="str">
        <f t="shared" si="31"/>
        <v>Q1</v>
      </c>
      <c r="V452" t="str">
        <f t="shared" ref="V452:V515" si="32">IF(R451=1,"Completed","Failed")</f>
        <v>Completed</v>
      </c>
    </row>
    <row r="453" spans="1:22" x14ac:dyDescent="0.3">
      <c r="A453" s="2">
        <v>452</v>
      </c>
      <c r="B453" s="1">
        <v>46109</v>
      </c>
      <c r="C453" s="2" t="s">
        <v>17</v>
      </c>
      <c r="D453">
        <v>2665</v>
      </c>
      <c r="E453">
        <v>4111</v>
      </c>
      <c r="F453">
        <v>2395</v>
      </c>
      <c r="G453">
        <v>1507</v>
      </c>
      <c r="H453">
        <v>3589</v>
      </c>
      <c r="I453">
        <v>0.28853878500000002</v>
      </c>
      <c r="J453">
        <v>2.7659423849999998</v>
      </c>
      <c r="K453">
        <v>3382</v>
      </c>
      <c r="L453">
        <v>121</v>
      </c>
      <c r="M453" s="2">
        <v>1</v>
      </c>
      <c r="N453">
        <v>0.82844975200000004</v>
      </c>
      <c r="O453">
        <v>0.913311031</v>
      </c>
      <c r="P453" t="b">
        <v>0</v>
      </c>
      <c r="Q453">
        <v>0.52309893699999999</v>
      </c>
      <c r="R453" s="2">
        <v>1</v>
      </c>
      <c r="S453" s="2" t="str">
        <f t="shared" si="29"/>
        <v>Mar</v>
      </c>
      <c r="T453">
        <f t="shared" si="30"/>
        <v>2026</v>
      </c>
      <c r="U453" s="2" t="str">
        <f t="shared" si="31"/>
        <v>Q1</v>
      </c>
      <c r="V453" t="str">
        <f t="shared" si="32"/>
        <v>Completed</v>
      </c>
    </row>
    <row r="454" spans="1:22" x14ac:dyDescent="0.3">
      <c r="A454" s="2">
        <v>453</v>
      </c>
      <c r="B454" s="1">
        <v>46110</v>
      </c>
      <c r="C454" s="2" t="s">
        <v>5</v>
      </c>
      <c r="D454">
        <v>2422</v>
      </c>
      <c r="E454">
        <v>4319</v>
      </c>
      <c r="F454">
        <v>699</v>
      </c>
      <c r="G454">
        <v>2643</v>
      </c>
      <c r="H454">
        <v>2203</v>
      </c>
      <c r="I454">
        <v>0.38615463</v>
      </c>
      <c r="J454">
        <v>1.904936486</v>
      </c>
      <c r="K454">
        <v>2139</v>
      </c>
      <c r="L454">
        <v>1706</v>
      </c>
      <c r="M454" s="2">
        <v>8</v>
      </c>
      <c r="N454">
        <v>0.87561173199999998</v>
      </c>
      <c r="O454">
        <v>0.941729814</v>
      </c>
      <c r="P454" t="b">
        <v>0</v>
      </c>
      <c r="Q454">
        <v>0.47342600200000001</v>
      </c>
      <c r="R454" s="2">
        <v>1</v>
      </c>
      <c r="S454" s="2" t="str">
        <f t="shared" si="29"/>
        <v>Mar</v>
      </c>
      <c r="T454">
        <f t="shared" si="30"/>
        <v>2026</v>
      </c>
      <c r="U454" s="2" t="str">
        <f t="shared" si="31"/>
        <v>Q1</v>
      </c>
      <c r="V454" t="str">
        <f t="shared" si="32"/>
        <v>Completed</v>
      </c>
    </row>
    <row r="455" spans="1:22" x14ac:dyDescent="0.3">
      <c r="A455" s="2">
        <v>454</v>
      </c>
      <c r="B455" s="1">
        <v>46111</v>
      </c>
      <c r="C455" s="2" t="s">
        <v>16</v>
      </c>
      <c r="D455">
        <v>498</v>
      </c>
      <c r="E455">
        <v>1485</v>
      </c>
      <c r="F455">
        <v>3827</v>
      </c>
      <c r="G455">
        <v>1315</v>
      </c>
      <c r="H455">
        <v>878</v>
      </c>
      <c r="I455">
        <v>0.76016012399999999</v>
      </c>
      <c r="J455">
        <v>1.004417889</v>
      </c>
      <c r="K455">
        <v>4388</v>
      </c>
      <c r="L455">
        <v>2598</v>
      </c>
      <c r="M455" s="2">
        <v>9</v>
      </c>
      <c r="N455">
        <v>1.35445689</v>
      </c>
      <c r="O455">
        <v>0.99722574600000002</v>
      </c>
      <c r="P455" t="b">
        <v>0</v>
      </c>
      <c r="Q455">
        <v>8.0130826000000002E-2</v>
      </c>
      <c r="R455" s="2">
        <v>1</v>
      </c>
      <c r="S455" s="2" t="str">
        <f t="shared" si="29"/>
        <v>Mar</v>
      </c>
      <c r="T455">
        <f t="shared" si="30"/>
        <v>2026</v>
      </c>
      <c r="U455" s="2" t="str">
        <f t="shared" si="31"/>
        <v>Q1</v>
      </c>
      <c r="V455" t="str">
        <f t="shared" si="32"/>
        <v>Completed</v>
      </c>
    </row>
    <row r="456" spans="1:22" x14ac:dyDescent="0.3">
      <c r="A456" s="2">
        <v>455</v>
      </c>
      <c r="B456" s="1">
        <v>46112</v>
      </c>
      <c r="C456" s="2" t="s">
        <v>5</v>
      </c>
      <c r="D456">
        <v>1955</v>
      </c>
      <c r="E456">
        <v>861</v>
      </c>
      <c r="F456">
        <v>335</v>
      </c>
      <c r="G456">
        <v>1726</v>
      </c>
      <c r="H456">
        <v>2055</v>
      </c>
      <c r="I456">
        <v>0.73652691800000003</v>
      </c>
      <c r="J456">
        <v>0.83426631500000004</v>
      </c>
      <c r="K456">
        <v>4605</v>
      </c>
      <c r="L456">
        <v>2670</v>
      </c>
      <c r="M456" s="2">
        <v>1</v>
      </c>
      <c r="N456">
        <v>0.80865445700000005</v>
      </c>
      <c r="O456">
        <v>0.88315338200000004</v>
      </c>
      <c r="P456" t="b">
        <v>0</v>
      </c>
      <c r="Q456">
        <v>0.37796402299999998</v>
      </c>
      <c r="R456" s="2">
        <v>1</v>
      </c>
      <c r="S456" s="2" t="str">
        <f t="shared" si="29"/>
        <v>Mar</v>
      </c>
      <c r="T456">
        <f t="shared" si="30"/>
        <v>2026</v>
      </c>
      <c r="U456" s="2" t="str">
        <f t="shared" si="31"/>
        <v>Q1</v>
      </c>
      <c r="V456" t="str">
        <f t="shared" si="32"/>
        <v>Completed</v>
      </c>
    </row>
    <row r="457" spans="1:22" x14ac:dyDescent="0.3">
      <c r="A457" s="2">
        <v>456</v>
      </c>
      <c r="B457" s="1">
        <v>46113</v>
      </c>
      <c r="C457" s="2" t="s">
        <v>17</v>
      </c>
      <c r="D457">
        <v>2676</v>
      </c>
      <c r="E457">
        <v>4167</v>
      </c>
      <c r="F457">
        <v>1263</v>
      </c>
      <c r="G457">
        <v>3574</v>
      </c>
      <c r="H457">
        <v>721</v>
      </c>
      <c r="I457">
        <v>0.35178032300000001</v>
      </c>
      <c r="J457">
        <v>0.62765023799999997</v>
      </c>
      <c r="K457">
        <v>475</v>
      </c>
      <c r="L457">
        <v>372</v>
      </c>
      <c r="M457" s="2">
        <v>3</v>
      </c>
      <c r="N457">
        <v>1.976470186</v>
      </c>
      <c r="O457">
        <v>0.82556719199999995</v>
      </c>
      <c r="P457" t="b">
        <v>0</v>
      </c>
      <c r="Q457">
        <v>0.52534750600000002</v>
      </c>
      <c r="R457" s="2">
        <v>1</v>
      </c>
      <c r="S457" s="2" t="str">
        <f t="shared" si="29"/>
        <v>Apr</v>
      </c>
      <c r="T457">
        <f t="shared" si="30"/>
        <v>2026</v>
      </c>
      <c r="U457" s="2" t="str">
        <f t="shared" si="31"/>
        <v>Q2</v>
      </c>
      <c r="V457" t="str">
        <f t="shared" si="32"/>
        <v>Completed</v>
      </c>
    </row>
    <row r="458" spans="1:22" x14ac:dyDescent="0.3">
      <c r="A458" s="2">
        <v>457</v>
      </c>
      <c r="B458" s="1">
        <v>46114</v>
      </c>
      <c r="C458" s="2" t="s">
        <v>5</v>
      </c>
      <c r="D458">
        <v>4206</v>
      </c>
      <c r="E458">
        <v>3025</v>
      </c>
      <c r="F458">
        <v>1566</v>
      </c>
      <c r="G458">
        <v>1803</v>
      </c>
      <c r="H458">
        <v>2700</v>
      </c>
      <c r="I458">
        <v>0.30474214999999999</v>
      </c>
      <c r="J458">
        <v>2.0991944120000001</v>
      </c>
      <c r="K458">
        <v>1665</v>
      </c>
      <c r="L458">
        <v>2951</v>
      </c>
      <c r="M458" s="2">
        <v>7</v>
      </c>
      <c r="N458">
        <v>0.96778504499999995</v>
      </c>
      <c r="O458">
        <v>0.86288292700000002</v>
      </c>
      <c r="P458" t="b">
        <v>0</v>
      </c>
      <c r="Q458">
        <v>0.838103025</v>
      </c>
      <c r="R458" s="2">
        <v>1</v>
      </c>
      <c r="S458" s="2" t="str">
        <f t="shared" si="29"/>
        <v>Apr</v>
      </c>
      <c r="T458">
        <f t="shared" si="30"/>
        <v>2026</v>
      </c>
      <c r="U458" s="2" t="str">
        <f t="shared" si="31"/>
        <v>Q2</v>
      </c>
      <c r="V458" t="str">
        <f t="shared" si="32"/>
        <v>Completed</v>
      </c>
    </row>
    <row r="459" spans="1:22" x14ac:dyDescent="0.3">
      <c r="A459" s="2">
        <v>458</v>
      </c>
      <c r="B459" s="1">
        <v>46115</v>
      </c>
      <c r="C459" s="2" t="s">
        <v>18</v>
      </c>
      <c r="D459">
        <v>4711</v>
      </c>
      <c r="E459">
        <v>655</v>
      </c>
      <c r="F459">
        <v>2638</v>
      </c>
      <c r="G459">
        <v>988</v>
      </c>
      <c r="H459">
        <v>956</v>
      </c>
      <c r="I459">
        <v>0.66984320799999997</v>
      </c>
      <c r="J459">
        <v>1.350555892</v>
      </c>
      <c r="K459">
        <v>2248</v>
      </c>
      <c r="L459">
        <v>2683</v>
      </c>
      <c r="M459" s="2">
        <v>9</v>
      </c>
      <c r="N459">
        <v>1.676756157</v>
      </c>
      <c r="O459">
        <v>0.91474416400000003</v>
      </c>
      <c r="P459" t="b">
        <v>0</v>
      </c>
      <c r="Q459">
        <v>0.94133278799999998</v>
      </c>
      <c r="R459" s="2">
        <v>1</v>
      </c>
      <c r="S459" s="2" t="str">
        <f t="shared" si="29"/>
        <v>Apr</v>
      </c>
      <c r="T459">
        <f t="shared" si="30"/>
        <v>2026</v>
      </c>
      <c r="U459" s="2" t="str">
        <f t="shared" si="31"/>
        <v>Q2</v>
      </c>
      <c r="V459" t="str">
        <f t="shared" si="32"/>
        <v>Completed</v>
      </c>
    </row>
    <row r="460" spans="1:22" x14ac:dyDescent="0.3">
      <c r="A460" s="2">
        <v>459</v>
      </c>
      <c r="B460" s="1">
        <v>46116</v>
      </c>
      <c r="C460" s="2" t="s">
        <v>5</v>
      </c>
      <c r="D460">
        <v>3581</v>
      </c>
      <c r="E460">
        <v>4194</v>
      </c>
      <c r="F460">
        <v>336</v>
      </c>
      <c r="G460">
        <v>1231</v>
      </c>
      <c r="H460">
        <v>2870</v>
      </c>
      <c r="I460">
        <v>0.40016108900000003</v>
      </c>
      <c r="J460">
        <v>2.5767576320000001</v>
      </c>
      <c r="K460">
        <v>3681</v>
      </c>
      <c r="L460">
        <v>2923</v>
      </c>
      <c r="M460" s="2">
        <v>3</v>
      </c>
      <c r="N460">
        <v>1.526078321</v>
      </c>
      <c r="O460">
        <v>0.91004444500000004</v>
      </c>
      <c r="P460" t="b">
        <v>0</v>
      </c>
      <c r="Q460">
        <v>0.710343418</v>
      </c>
      <c r="R460" s="2">
        <v>1</v>
      </c>
      <c r="S460" s="2" t="str">
        <f t="shared" si="29"/>
        <v>Apr</v>
      </c>
      <c r="T460">
        <f t="shared" si="30"/>
        <v>2026</v>
      </c>
      <c r="U460" s="2" t="str">
        <f t="shared" si="31"/>
        <v>Q2</v>
      </c>
      <c r="V460" t="str">
        <f t="shared" si="32"/>
        <v>Completed</v>
      </c>
    </row>
    <row r="461" spans="1:22" x14ac:dyDescent="0.3">
      <c r="A461" s="2">
        <v>460</v>
      </c>
      <c r="B461" s="1">
        <v>46117</v>
      </c>
      <c r="C461" s="2" t="s">
        <v>5</v>
      </c>
      <c r="D461">
        <v>4991</v>
      </c>
      <c r="E461">
        <v>667</v>
      </c>
      <c r="F461">
        <v>2419</v>
      </c>
      <c r="G461">
        <v>817</v>
      </c>
      <c r="H461">
        <v>203</v>
      </c>
      <c r="I461">
        <v>0.68880639499999996</v>
      </c>
      <c r="J461">
        <v>2.1345362080000001</v>
      </c>
      <c r="K461">
        <v>3284</v>
      </c>
      <c r="L461">
        <v>3429</v>
      </c>
      <c r="M461" s="2">
        <v>7</v>
      </c>
      <c r="N461">
        <v>1.4135800460000001</v>
      </c>
      <c r="O461">
        <v>0.99983723800000002</v>
      </c>
      <c r="P461" t="b">
        <v>0</v>
      </c>
      <c r="Q461">
        <v>0.99856909199999999</v>
      </c>
      <c r="R461" s="2">
        <v>1</v>
      </c>
      <c r="S461" s="2" t="str">
        <f t="shared" si="29"/>
        <v>Apr</v>
      </c>
      <c r="T461">
        <f t="shared" si="30"/>
        <v>2026</v>
      </c>
      <c r="U461" s="2" t="str">
        <f t="shared" si="31"/>
        <v>Q2</v>
      </c>
      <c r="V461" t="str">
        <f t="shared" si="32"/>
        <v>Completed</v>
      </c>
    </row>
    <row r="462" spans="1:22" x14ac:dyDescent="0.3">
      <c r="A462" s="2">
        <v>461</v>
      </c>
      <c r="B462" s="1">
        <v>46118</v>
      </c>
      <c r="C462" s="2" t="s">
        <v>16</v>
      </c>
      <c r="D462">
        <v>1157</v>
      </c>
      <c r="E462">
        <v>2523</v>
      </c>
      <c r="F462">
        <v>2482</v>
      </c>
      <c r="G462">
        <v>2164</v>
      </c>
      <c r="H462">
        <v>2804</v>
      </c>
      <c r="I462">
        <v>0.41956877399999998</v>
      </c>
      <c r="J462">
        <v>1.2362728199999999</v>
      </c>
      <c r="K462">
        <v>2371</v>
      </c>
      <c r="L462">
        <v>3995</v>
      </c>
      <c r="M462" s="2">
        <v>2</v>
      </c>
      <c r="N462">
        <v>1.772415912</v>
      </c>
      <c r="O462">
        <v>0.81582859900000004</v>
      </c>
      <c r="P462" t="b">
        <v>0</v>
      </c>
      <c r="Q462">
        <v>0.21484055599999999</v>
      </c>
      <c r="R462" s="2">
        <v>1</v>
      </c>
      <c r="S462" s="2" t="str">
        <f t="shared" si="29"/>
        <v>Apr</v>
      </c>
      <c r="T462">
        <f t="shared" si="30"/>
        <v>2026</v>
      </c>
      <c r="U462" s="2" t="str">
        <f t="shared" si="31"/>
        <v>Q2</v>
      </c>
      <c r="V462" t="str">
        <f t="shared" si="32"/>
        <v>Completed</v>
      </c>
    </row>
    <row r="463" spans="1:22" x14ac:dyDescent="0.3">
      <c r="A463" s="2">
        <v>462</v>
      </c>
      <c r="B463" s="1">
        <v>46119</v>
      </c>
      <c r="C463" s="2" t="s">
        <v>16</v>
      </c>
      <c r="D463">
        <v>3682</v>
      </c>
      <c r="E463">
        <v>957</v>
      </c>
      <c r="F463">
        <v>1179</v>
      </c>
      <c r="G463">
        <v>2913</v>
      </c>
      <c r="H463">
        <v>2151</v>
      </c>
      <c r="I463">
        <v>0.45988324800000002</v>
      </c>
      <c r="J463">
        <v>2.549145851</v>
      </c>
      <c r="K463">
        <v>982</v>
      </c>
      <c r="L463">
        <v>1836</v>
      </c>
      <c r="M463" s="2">
        <v>3</v>
      </c>
      <c r="N463">
        <v>1.718943748</v>
      </c>
      <c r="O463">
        <v>0.97716067100000004</v>
      </c>
      <c r="P463" t="b">
        <v>0</v>
      </c>
      <c r="Q463">
        <v>0.73098936999999997</v>
      </c>
      <c r="R463" s="2">
        <v>1</v>
      </c>
      <c r="S463" s="2" t="str">
        <f t="shared" si="29"/>
        <v>Apr</v>
      </c>
      <c r="T463">
        <f t="shared" si="30"/>
        <v>2026</v>
      </c>
      <c r="U463" s="2" t="str">
        <f t="shared" si="31"/>
        <v>Q2</v>
      </c>
      <c r="V463" t="str">
        <f t="shared" si="32"/>
        <v>Completed</v>
      </c>
    </row>
    <row r="464" spans="1:22" x14ac:dyDescent="0.3">
      <c r="A464" s="2">
        <v>463</v>
      </c>
      <c r="B464" s="1">
        <v>46120</v>
      </c>
      <c r="C464" s="2" t="s">
        <v>16</v>
      </c>
      <c r="D464">
        <v>1118</v>
      </c>
      <c r="E464">
        <v>4136</v>
      </c>
      <c r="F464">
        <v>2072</v>
      </c>
      <c r="G464">
        <v>2346</v>
      </c>
      <c r="H464">
        <v>2714</v>
      </c>
      <c r="I464">
        <v>0.35989773000000003</v>
      </c>
      <c r="J464">
        <v>1.715257611</v>
      </c>
      <c r="K464">
        <v>4537</v>
      </c>
      <c r="L464">
        <v>843</v>
      </c>
      <c r="M464" s="2">
        <v>8</v>
      </c>
      <c r="N464">
        <v>1.511743512</v>
      </c>
      <c r="O464">
        <v>0.92072596799999995</v>
      </c>
      <c r="P464" t="b">
        <v>0</v>
      </c>
      <c r="Q464">
        <v>0.206868357</v>
      </c>
      <c r="R464" s="2">
        <v>1</v>
      </c>
      <c r="S464" s="2" t="str">
        <f t="shared" si="29"/>
        <v>Apr</v>
      </c>
      <c r="T464">
        <f t="shared" si="30"/>
        <v>2026</v>
      </c>
      <c r="U464" s="2" t="str">
        <f t="shared" si="31"/>
        <v>Q2</v>
      </c>
      <c r="V464" t="str">
        <f t="shared" si="32"/>
        <v>Completed</v>
      </c>
    </row>
    <row r="465" spans="1:22" x14ac:dyDescent="0.3">
      <c r="A465" s="2">
        <v>464</v>
      </c>
      <c r="B465" s="1">
        <v>46121</v>
      </c>
      <c r="C465" s="2" t="s">
        <v>17</v>
      </c>
      <c r="D465">
        <v>3248</v>
      </c>
      <c r="E465">
        <v>2767</v>
      </c>
      <c r="F465">
        <v>1141</v>
      </c>
      <c r="G465">
        <v>4209</v>
      </c>
      <c r="H465">
        <v>3673</v>
      </c>
      <c r="I465">
        <v>0.61344140300000005</v>
      </c>
      <c r="J465">
        <v>1.123961598</v>
      </c>
      <c r="K465">
        <v>2326</v>
      </c>
      <c r="L465">
        <v>1736</v>
      </c>
      <c r="M465" s="2">
        <v>7</v>
      </c>
      <c r="N465">
        <v>1.3175312429999999</v>
      </c>
      <c r="O465">
        <v>0.95144328099999997</v>
      </c>
      <c r="P465" t="b">
        <v>0</v>
      </c>
      <c r="Q465">
        <v>0.64227309899999996</v>
      </c>
      <c r="R465" s="2">
        <v>1</v>
      </c>
      <c r="S465" s="2" t="str">
        <f t="shared" si="29"/>
        <v>Apr</v>
      </c>
      <c r="T465">
        <f t="shared" si="30"/>
        <v>2026</v>
      </c>
      <c r="U465" s="2" t="str">
        <f t="shared" si="31"/>
        <v>Q2</v>
      </c>
      <c r="V465" t="str">
        <f t="shared" si="32"/>
        <v>Completed</v>
      </c>
    </row>
    <row r="466" spans="1:22" x14ac:dyDescent="0.3">
      <c r="A466" s="2">
        <v>465</v>
      </c>
      <c r="B466" s="1">
        <v>46122</v>
      </c>
      <c r="C466" s="2" t="s">
        <v>5</v>
      </c>
      <c r="D466">
        <v>4561</v>
      </c>
      <c r="E466">
        <v>3902</v>
      </c>
      <c r="F466">
        <v>2003</v>
      </c>
      <c r="G466">
        <v>1317</v>
      </c>
      <c r="H466">
        <v>1247</v>
      </c>
      <c r="I466">
        <v>0.56561886900000002</v>
      </c>
      <c r="J466">
        <v>1.8624355889999999</v>
      </c>
      <c r="K466">
        <v>1336</v>
      </c>
      <c r="L466">
        <v>1572</v>
      </c>
      <c r="M466" s="2">
        <v>2</v>
      </c>
      <c r="N466">
        <v>1.6624182270000001</v>
      </c>
      <c r="O466">
        <v>0.970792408</v>
      </c>
      <c r="P466" t="b">
        <v>0</v>
      </c>
      <c r="Q466">
        <v>0.910670482</v>
      </c>
      <c r="R466" s="2">
        <v>1</v>
      </c>
      <c r="S466" s="2" t="str">
        <f t="shared" si="29"/>
        <v>Apr</v>
      </c>
      <c r="T466">
        <f t="shared" si="30"/>
        <v>2026</v>
      </c>
      <c r="U466" s="2" t="str">
        <f t="shared" si="31"/>
        <v>Q2</v>
      </c>
      <c r="V466" t="str">
        <f t="shared" si="32"/>
        <v>Completed</v>
      </c>
    </row>
    <row r="467" spans="1:22" x14ac:dyDescent="0.3">
      <c r="A467" s="2">
        <v>466</v>
      </c>
      <c r="B467" s="1">
        <v>46123</v>
      </c>
      <c r="C467" s="2" t="s">
        <v>18</v>
      </c>
      <c r="D467">
        <v>563</v>
      </c>
      <c r="E467">
        <v>717</v>
      </c>
      <c r="F467">
        <v>1476</v>
      </c>
      <c r="G467">
        <v>352</v>
      </c>
      <c r="H467">
        <v>3445</v>
      </c>
      <c r="I467">
        <v>0.73224304100000004</v>
      </c>
      <c r="J467">
        <v>0.59767239999999999</v>
      </c>
      <c r="K467">
        <v>3624</v>
      </c>
      <c r="L467">
        <v>1435</v>
      </c>
      <c r="M467" s="2">
        <v>6</v>
      </c>
      <c r="N467">
        <v>1.7572324180000001</v>
      </c>
      <c r="O467">
        <v>0.83509353600000003</v>
      </c>
      <c r="P467" t="b">
        <v>0</v>
      </c>
      <c r="Q467">
        <v>9.3417824999999996E-2</v>
      </c>
      <c r="R467" s="2">
        <v>1</v>
      </c>
      <c r="S467" s="2" t="str">
        <f t="shared" si="29"/>
        <v>Apr</v>
      </c>
      <c r="T467">
        <f t="shared" si="30"/>
        <v>2026</v>
      </c>
      <c r="U467" s="2" t="str">
        <f t="shared" si="31"/>
        <v>Q2</v>
      </c>
      <c r="V467" t="str">
        <f t="shared" si="32"/>
        <v>Completed</v>
      </c>
    </row>
    <row r="468" spans="1:22" x14ac:dyDescent="0.3">
      <c r="A468" s="2">
        <v>467</v>
      </c>
      <c r="B468" s="1">
        <v>46124</v>
      </c>
      <c r="C468" s="2" t="s">
        <v>18</v>
      </c>
      <c r="D468">
        <v>1034</v>
      </c>
      <c r="E468">
        <v>4298</v>
      </c>
      <c r="F468">
        <v>1966</v>
      </c>
      <c r="G468">
        <v>4927</v>
      </c>
      <c r="H468">
        <v>1278</v>
      </c>
      <c r="I468">
        <v>0.53369166599999995</v>
      </c>
      <c r="J468">
        <v>1.5925102769999999</v>
      </c>
      <c r="K468">
        <v>2301</v>
      </c>
      <c r="L468">
        <v>3397</v>
      </c>
      <c r="M468" s="2">
        <v>7</v>
      </c>
      <c r="N468">
        <v>1.962305486</v>
      </c>
      <c r="O468">
        <v>0.84713324899999998</v>
      </c>
      <c r="P468" t="b">
        <v>0</v>
      </c>
      <c r="Q468">
        <v>0.18969746500000001</v>
      </c>
      <c r="R468" s="2">
        <v>1</v>
      </c>
      <c r="S468" s="2" t="str">
        <f t="shared" si="29"/>
        <v>Apr</v>
      </c>
      <c r="T468">
        <f t="shared" si="30"/>
        <v>2026</v>
      </c>
      <c r="U468" s="2" t="str">
        <f t="shared" si="31"/>
        <v>Q2</v>
      </c>
      <c r="V468" t="str">
        <f t="shared" si="32"/>
        <v>Completed</v>
      </c>
    </row>
    <row r="469" spans="1:22" x14ac:dyDescent="0.3">
      <c r="A469" s="2">
        <v>468</v>
      </c>
      <c r="B469" s="1">
        <v>46125</v>
      </c>
      <c r="C469" s="2" t="s">
        <v>5</v>
      </c>
      <c r="D469">
        <v>3170</v>
      </c>
      <c r="E469">
        <v>3845</v>
      </c>
      <c r="F469">
        <v>203</v>
      </c>
      <c r="G469">
        <v>1380</v>
      </c>
      <c r="H469">
        <v>186</v>
      </c>
      <c r="I469">
        <v>0.49529949899999998</v>
      </c>
      <c r="J469">
        <v>1.5261753659999999</v>
      </c>
      <c r="K469">
        <v>4365</v>
      </c>
      <c r="L469">
        <v>2113</v>
      </c>
      <c r="M469" s="2">
        <v>7</v>
      </c>
      <c r="N469">
        <v>1.1263983849999999</v>
      </c>
      <c r="O469">
        <v>0.92101777399999996</v>
      </c>
      <c r="P469" t="b">
        <v>0</v>
      </c>
      <c r="Q469">
        <v>0.62632869999999996</v>
      </c>
      <c r="R469" s="2">
        <v>1</v>
      </c>
      <c r="S469" s="2" t="str">
        <f t="shared" si="29"/>
        <v>Apr</v>
      </c>
      <c r="T469">
        <f t="shared" si="30"/>
        <v>2026</v>
      </c>
      <c r="U469" s="2" t="str">
        <f t="shared" si="31"/>
        <v>Q2</v>
      </c>
      <c r="V469" t="str">
        <f t="shared" si="32"/>
        <v>Completed</v>
      </c>
    </row>
    <row r="470" spans="1:22" x14ac:dyDescent="0.3">
      <c r="A470" s="2">
        <v>469</v>
      </c>
      <c r="B470" s="1">
        <v>46126</v>
      </c>
      <c r="C470" s="2" t="s">
        <v>17</v>
      </c>
      <c r="D470">
        <v>3179</v>
      </c>
      <c r="E470">
        <v>2533</v>
      </c>
      <c r="F470">
        <v>3619</v>
      </c>
      <c r="G470">
        <v>2886</v>
      </c>
      <c r="H470">
        <v>2275</v>
      </c>
      <c r="I470">
        <v>0.42762361900000001</v>
      </c>
      <c r="J470">
        <v>0.87110489499999999</v>
      </c>
      <c r="K470">
        <v>870</v>
      </c>
      <c r="L470">
        <v>2077</v>
      </c>
      <c r="M470" s="2">
        <v>6</v>
      </c>
      <c r="N470">
        <v>1.1670909709999999</v>
      </c>
      <c r="O470">
        <v>0.81859428099999998</v>
      </c>
      <c r="P470" t="b">
        <v>0</v>
      </c>
      <c r="Q470">
        <v>0.628168438</v>
      </c>
      <c r="R470" s="2">
        <v>1</v>
      </c>
      <c r="S470" s="2" t="str">
        <f t="shared" si="29"/>
        <v>Apr</v>
      </c>
      <c r="T470">
        <f t="shared" si="30"/>
        <v>2026</v>
      </c>
      <c r="U470" s="2" t="str">
        <f t="shared" si="31"/>
        <v>Q2</v>
      </c>
      <c r="V470" t="str">
        <f t="shared" si="32"/>
        <v>Completed</v>
      </c>
    </row>
    <row r="471" spans="1:22" x14ac:dyDescent="0.3">
      <c r="A471" s="2">
        <v>470</v>
      </c>
      <c r="B471" s="1">
        <v>46127</v>
      </c>
      <c r="C471" s="2" t="s">
        <v>18</v>
      </c>
      <c r="D471">
        <v>3619</v>
      </c>
      <c r="E471">
        <v>2362</v>
      </c>
      <c r="F471">
        <v>910</v>
      </c>
      <c r="G471">
        <v>3878</v>
      </c>
      <c r="H471">
        <v>597</v>
      </c>
      <c r="I471">
        <v>0.258896556</v>
      </c>
      <c r="J471">
        <v>1.8716861010000001</v>
      </c>
      <c r="K471">
        <v>216</v>
      </c>
      <c r="L471">
        <v>3232</v>
      </c>
      <c r="M471" s="2">
        <v>5</v>
      </c>
      <c r="N471">
        <v>1.6906547540000001</v>
      </c>
      <c r="O471">
        <v>0.81004776999999994</v>
      </c>
      <c r="P471" t="b">
        <v>0</v>
      </c>
      <c r="Q471">
        <v>0.718111202</v>
      </c>
      <c r="R471" s="2">
        <v>1</v>
      </c>
      <c r="S471" s="2" t="str">
        <f t="shared" si="29"/>
        <v>Apr</v>
      </c>
      <c r="T471">
        <f t="shared" si="30"/>
        <v>2026</v>
      </c>
      <c r="U471" s="2" t="str">
        <f t="shared" si="31"/>
        <v>Q2</v>
      </c>
      <c r="V471" t="str">
        <f t="shared" si="32"/>
        <v>Completed</v>
      </c>
    </row>
    <row r="472" spans="1:22" x14ac:dyDescent="0.3">
      <c r="A472" s="2">
        <v>471</v>
      </c>
      <c r="B472" s="1">
        <v>46128</v>
      </c>
      <c r="C472" s="2" t="s">
        <v>18</v>
      </c>
      <c r="D472">
        <v>3845</v>
      </c>
      <c r="E472">
        <v>2784</v>
      </c>
      <c r="F472">
        <v>372</v>
      </c>
      <c r="G472">
        <v>1952</v>
      </c>
      <c r="H472">
        <v>2075</v>
      </c>
      <c r="I472">
        <v>0.43062193599999998</v>
      </c>
      <c r="J472">
        <v>1.3570358870000001</v>
      </c>
      <c r="K472">
        <v>4370</v>
      </c>
      <c r="L472">
        <v>206</v>
      </c>
      <c r="M472" s="2">
        <v>7</v>
      </c>
      <c r="N472">
        <v>1.1772564640000001</v>
      </c>
      <c r="O472">
        <v>0.918316731</v>
      </c>
      <c r="P472" t="b">
        <v>0</v>
      </c>
      <c r="Q472">
        <v>0.76430907599999998</v>
      </c>
      <c r="R472" s="2">
        <v>1</v>
      </c>
      <c r="S472" s="2" t="str">
        <f t="shared" si="29"/>
        <v>Apr</v>
      </c>
      <c r="T472">
        <f t="shared" si="30"/>
        <v>2026</v>
      </c>
      <c r="U472" s="2" t="str">
        <f t="shared" si="31"/>
        <v>Q2</v>
      </c>
      <c r="V472" t="str">
        <f t="shared" si="32"/>
        <v>Completed</v>
      </c>
    </row>
    <row r="473" spans="1:22" x14ac:dyDescent="0.3">
      <c r="A473" s="2">
        <v>472</v>
      </c>
      <c r="B473" s="1">
        <v>46129</v>
      </c>
      <c r="C473" s="2" t="s">
        <v>5</v>
      </c>
      <c r="D473">
        <v>4821</v>
      </c>
      <c r="E473">
        <v>2861</v>
      </c>
      <c r="F473">
        <v>894</v>
      </c>
      <c r="G473">
        <v>1854</v>
      </c>
      <c r="H473">
        <v>619</v>
      </c>
      <c r="I473">
        <v>0.370071975</v>
      </c>
      <c r="J473">
        <v>2.5900977549999999</v>
      </c>
      <c r="K473">
        <v>3285</v>
      </c>
      <c r="L473">
        <v>3684</v>
      </c>
      <c r="M473" s="2">
        <v>9</v>
      </c>
      <c r="N473">
        <v>1.996407984</v>
      </c>
      <c r="O473">
        <v>0.97989776699999998</v>
      </c>
      <c r="P473" t="b">
        <v>0</v>
      </c>
      <c r="Q473">
        <v>0.96381847899999995</v>
      </c>
      <c r="R473" s="2">
        <v>1</v>
      </c>
      <c r="S473" s="2" t="str">
        <f t="shared" si="29"/>
        <v>Apr</v>
      </c>
      <c r="T473">
        <f t="shared" si="30"/>
        <v>2026</v>
      </c>
      <c r="U473" s="2" t="str">
        <f t="shared" si="31"/>
        <v>Q2</v>
      </c>
      <c r="V473" t="str">
        <f t="shared" si="32"/>
        <v>Completed</v>
      </c>
    </row>
    <row r="474" spans="1:22" x14ac:dyDescent="0.3">
      <c r="A474" s="2">
        <v>473</v>
      </c>
      <c r="B474" s="1">
        <v>46130</v>
      </c>
      <c r="C474" s="2" t="s">
        <v>16</v>
      </c>
      <c r="D474">
        <v>4269</v>
      </c>
      <c r="E474">
        <v>2969</v>
      </c>
      <c r="F474">
        <v>3648</v>
      </c>
      <c r="G474">
        <v>4042</v>
      </c>
      <c r="H474">
        <v>2971</v>
      </c>
      <c r="I474">
        <v>0.323278385</v>
      </c>
      <c r="J474">
        <v>1.3820617909999999</v>
      </c>
      <c r="K474">
        <v>4311</v>
      </c>
      <c r="L474">
        <v>3253</v>
      </c>
      <c r="M474" s="2">
        <v>9</v>
      </c>
      <c r="N474">
        <v>0.53927435700000004</v>
      </c>
      <c r="O474">
        <v>0.91776355099999996</v>
      </c>
      <c r="P474" t="b">
        <v>0</v>
      </c>
      <c r="Q474">
        <v>0.85098119400000005</v>
      </c>
      <c r="R474" s="2">
        <v>1</v>
      </c>
      <c r="S474" s="2" t="str">
        <f t="shared" si="29"/>
        <v>Apr</v>
      </c>
      <c r="T474">
        <f t="shared" si="30"/>
        <v>2026</v>
      </c>
      <c r="U474" s="2" t="str">
        <f t="shared" si="31"/>
        <v>Q2</v>
      </c>
      <c r="V474" t="str">
        <f t="shared" si="32"/>
        <v>Completed</v>
      </c>
    </row>
    <row r="475" spans="1:22" x14ac:dyDescent="0.3">
      <c r="A475" s="2">
        <v>474</v>
      </c>
      <c r="B475" s="1">
        <v>46131</v>
      </c>
      <c r="C475" s="2" t="s">
        <v>18</v>
      </c>
      <c r="D475">
        <v>137</v>
      </c>
      <c r="E475">
        <v>661</v>
      </c>
      <c r="F475">
        <v>1184</v>
      </c>
      <c r="G475">
        <v>4090</v>
      </c>
      <c r="H475">
        <v>3186</v>
      </c>
      <c r="I475">
        <v>0.41720950099999998</v>
      </c>
      <c r="J475">
        <v>1.8934853469999999</v>
      </c>
      <c r="K475">
        <v>1753</v>
      </c>
      <c r="L475">
        <v>313</v>
      </c>
      <c r="M475" s="2">
        <v>5</v>
      </c>
      <c r="N475">
        <v>1.8229364509999999</v>
      </c>
      <c r="O475">
        <v>0.89929475999999997</v>
      </c>
      <c r="P475" t="b">
        <v>0</v>
      </c>
      <c r="Q475">
        <v>6.3368770000000003E-3</v>
      </c>
      <c r="R475" s="2">
        <v>1</v>
      </c>
      <c r="S475" s="2" t="str">
        <f t="shared" si="29"/>
        <v>Apr</v>
      </c>
      <c r="T475">
        <f t="shared" si="30"/>
        <v>2026</v>
      </c>
      <c r="U475" s="2" t="str">
        <f t="shared" si="31"/>
        <v>Q2</v>
      </c>
      <c r="V475" t="str">
        <f t="shared" si="32"/>
        <v>Completed</v>
      </c>
    </row>
    <row r="476" spans="1:22" x14ac:dyDescent="0.3">
      <c r="A476" s="2">
        <v>475</v>
      </c>
      <c r="B476" s="1">
        <v>46132</v>
      </c>
      <c r="C476" s="2" t="s">
        <v>16</v>
      </c>
      <c r="D476">
        <v>3689</v>
      </c>
      <c r="E476">
        <v>3458</v>
      </c>
      <c r="F476">
        <v>3506</v>
      </c>
      <c r="G476">
        <v>2666</v>
      </c>
      <c r="H476">
        <v>1000</v>
      </c>
      <c r="I476">
        <v>0.51389458499999996</v>
      </c>
      <c r="J476">
        <v>2.9347224879999998</v>
      </c>
      <c r="K476">
        <v>4314</v>
      </c>
      <c r="L476">
        <v>1419</v>
      </c>
      <c r="M476" s="2">
        <v>3</v>
      </c>
      <c r="N476">
        <v>1.5112039530000001</v>
      </c>
      <c r="O476">
        <v>0.91489289100000004</v>
      </c>
      <c r="P476" t="b">
        <v>0</v>
      </c>
      <c r="Q476">
        <v>0.73242027799999998</v>
      </c>
      <c r="R476" s="2">
        <v>1</v>
      </c>
      <c r="S476" s="2" t="str">
        <f t="shared" si="29"/>
        <v>Apr</v>
      </c>
      <c r="T476">
        <f t="shared" si="30"/>
        <v>2026</v>
      </c>
      <c r="U476" s="2" t="str">
        <f t="shared" si="31"/>
        <v>Q2</v>
      </c>
      <c r="V476" t="str">
        <f t="shared" si="32"/>
        <v>Completed</v>
      </c>
    </row>
    <row r="477" spans="1:22" x14ac:dyDescent="0.3">
      <c r="A477" s="2">
        <v>476</v>
      </c>
      <c r="B477" s="1">
        <v>46133</v>
      </c>
      <c r="C477" s="2" t="s">
        <v>18</v>
      </c>
      <c r="D477">
        <v>3762</v>
      </c>
      <c r="E477">
        <v>1919</v>
      </c>
      <c r="F477">
        <v>1420</v>
      </c>
      <c r="G477">
        <v>4843</v>
      </c>
      <c r="H477">
        <v>2460</v>
      </c>
      <c r="I477">
        <v>0.218562225</v>
      </c>
      <c r="J477">
        <v>1.2935352739999999</v>
      </c>
      <c r="K477">
        <v>1049</v>
      </c>
      <c r="L477">
        <v>3097</v>
      </c>
      <c r="M477" s="2">
        <v>8</v>
      </c>
      <c r="N477">
        <v>1.495178245</v>
      </c>
      <c r="O477">
        <v>0.83999819799999997</v>
      </c>
      <c r="P477" t="b">
        <v>0</v>
      </c>
      <c r="Q477">
        <v>0.74734259999999997</v>
      </c>
      <c r="R477" s="2">
        <v>1</v>
      </c>
      <c r="S477" s="2" t="str">
        <f t="shared" si="29"/>
        <v>Apr</v>
      </c>
      <c r="T477">
        <f t="shared" si="30"/>
        <v>2026</v>
      </c>
      <c r="U477" s="2" t="str">
        <f t="shared" si="31"/>
        <v>Q2</v>
      </c>
      <c r="V477" t="str">
        <f t="shared" si="32"/>
        <v>Completed</v>
      </c>
    </row>
    <row r="478" spans="1:22" x14ac:dyDescent="0.3">
      <c r="A478" s="2">
        <v>477</v>
      </c>
      <c r="B478" s="1">
        <v>46134</v>
      </c>
      <c r="C478" s="2" t="s">
        <v>5</v>
      </c>
      <c r="D478">
        <v>1850</v>
      </c>
      <c r="E478">
        <v>4066</v>
      </c>
      <c r="F478">
        <v>1996</v>
      </c>
      <c r="G478">
        <v>3598</v>
      </c>
      <c r="H478">
        <v>3328</v>
      </c>
      <c r="I478">
        <v>0.74894386999999996</v>
      </c>
      <c r="J478">
        <v>2.9085210799999999</v>
      </c>
      <c r="K478">
        <v>1702</v>
      </c>
      <c r="L478">
        <v>2219</v>
      </c>
      <c r="M478" s="2">
        <v>4</v>
      </c>
      <c r="N478">
        <v>0.81749901599999997</v>
      </c>
      <c r="O478">
        <v>0.807721048</v>
      </c>
      <c r="P478" t="b">
        <v>0</v>
      </c>
      <c r="Q478">
        <v>0.35650040900000002</v>
      </c>
      <c r="R478" s="2">
        <v>1</v>
      </c>
      <c r="S478" s="2" t="str">
        <f t="shared" si="29"/>
        <v>Apr</v>
      </c>
      <c r="T478">
        <f t="shared" si="30"/>
        <v>2026</v>
      </c>
      <c r="U478" s="2" t="str">
        <f t="shared" si="31"/>
        <v>Q2</v>
      </c>
      <c r="V478" t="str">
        <f t="shared" si="32"/>
        <v>Completed</v>
      </c>
    </row>
    <row r="479" spans="1:22" x14ac:dyDescent="0.3">
      <c r="A479" s="2">
        <v>478</v>
      </c>
      <c r="B479" s="1">
        <v>46135</v>
      </c>
      <c r="C479" s="2" t="s">
        <v>17</v>
      </c>
      <c r="D479">
        <v>2211</v>
      </c>
      <c r="E479">
        <v>1091</v>
      </c>
      <c r="F479">
        <v>1519</v>
      </c>
      <c r="G479">
        <v>381</v>
      </c>
      <c r="H479">
        <v>2469</v>
      </c>
      <c r="I479">
        <v>0.459480797</v>
      </c>
      <c r="J479">
        <v>1.8564061439999999</v>
      </c>
      <c r="K479">
        <v>809</v>
      </c>
      <c r="L479">
        <v>1444</v>
      </c>
      <c r="M479" s="2">
        <v>8</v>
      </c>
      <c r="N479">
        <v>1.4391339030000001</v>
      </c>
      <c r="O479">
        <v>0.946452556</v>
      </c>
      <c r="P479" t="b">
        <v>0</v>
      </c>
      <c r="Q479">
        <v>0.43029435799999999</v>
      </c>
      <c r="R479" s="2">
        <v>1</v>
      </c>
      <c r="S479" s="2" t="str">
        <f t="shared" si="29"/>
        <v>Apr</v>
      </c>
      <c r="T479">
        <f t="shared" si="30"/>
        <v>2026</v>
      </c>
      <c r="U479" s="2" t="str">
        <f t="shared" si="31"/>
        <v>Q2</v>
      </c>
      <c r="V479" t="str">
        <f t="shared" si="32"/>
        <v>Completed</v>
      </c>
    </row>
    <row r="480" spans="1:22" x14ac:dyDescent="0.3">
      <c r="A480" s="2">
        <v>479</v>
      </c>
      <c r="B480" s="1">
        <v>46136</v>
      </c>
      <c r="C480" s="2" t="s">
        <v>16</v>
      </c>
      <c r="D480">
        <v>472</v>
      </c>
      <c r="E480">
        <v>3061</v>
      </c>
      <c r="F480">
        <v>3319</v>
      </c>
      <c r="G480">
        <v>3287</v>
      </c>
      <c r="H480">
        <v>3011</v>
      </c>
      <c r="I480">
        <v>0.33731124499999998</v>
      </c>
      <c r="J480">
        <v>2.9952252220000002</v>
      </c>
      <c r="K480">
        <v>3284</v>
      </c>
      <c r="L480">
        <v>3207</v>
      </c>
      <c r="M480" s="2">
        <v>7</v>
      </c>
      <c r="N480">
        <v>1.821272668</v>
      </c>
      <c r="O480">
        <v>0.83314465800000004</v>
      </c>
      <c r="P480" t="b">
        <v>0</v>
      </c>
      <c r="Q480">
        <v>7.4816025999999994E-2</v>
      </c>
      <c r="R480" s="2">
        <v>1</v>
      </c>
      <c r="S480" s="2" t="str">
        <f t="shared" si="29"/>
        <v>Apr</v>
      </c>
      <c r="T480">
        <f t="shared" si="30"/>
        <v>2026</v>
      </c>
      <c r="U480" s="2" t="str">
        <f t="shared" si="31"/>
        <v>Q2</v>
      </c>
      <c r="V480" t="str">
        <f t="shared" si="32"/>
        <v>Completed</v>
      </c>
    </row>
    <row r="481" spans="1:22" x14ac:dyDescent="0.3">
      <c r="A481" s="2">
        <v>480</v>
      </c>
      <c r="B481" s="1">
        <v>46137</v>
      </c>
      <c r="C481" s="2" t="s">
        <v>16</v>
      </c>
      <c r="D481">
        <v>2686</v>
      </c>
      <c r="E481">
        <v>2288</v>
      </c>
      <c r="F481">
        <v>1959</v>
      </c>
      <c r="G481">
        <v>1600</v>
      </c>
      <c r="H481">
        <v>1988</v>
      </c>
      <c r="I481">
        <v>0.47261806099999998</v>
      </c>
      <c r="J481">
        <v>0.99388620599999999</v>
      </c>
      <c r="K481">
        <v>4535</v>
      </c>
      <c r="L481">
        <v>159</v>
      </c>
      <c r="M481" s="2">
        <v>5</v>
      </c>
      <c r="N481">
        <v>0.63428799700000005</v>
      </c>
      <c r="O481">
        <v>0.987399527</v>
      </c>
      <c r="P481" t="b">
        <v>0</v>
      </c>
      <c r="Q481">
        <v>0.52739166000000004</v>
      </c>
      <c r="R481" s="2">
        <v>1</v>
      </c>
      <c r="S481" s="2" t="str">
        <f t="shared" si="29"/>
        <v>Apr</v>
      </c>
      <c r="T481">
        <f t="shared" si="30"/>
        <v>2026</v>
      </c>
      <c r="U481" s="2" t="str">
        <f t="shared" si="31"/>
        <v>Q2</v>
      </c>
      <c r="V481" t="str">
        <f t="shared" si="32"/>
        <v>Completed</v>
      </c>
    </row>
    <row r="482" spans="1:22" x14ac:dyDescent="0.3">
      <c r="A482" s="2">
        <v>481</v>
      </c>
      <c r="B482" s="1">
        <v>46138</v>
      </c>
      <c r="C482" s="2" t="s">
        <v>16</v>
      </c>
      <c r="D482">
        <v>3123</v>
      </c>
      <c r="E482">
        <v>2766</v>
      </c>
      <c r="F482">
        <v>3698</v>
      </c>
      <c r="G482">
        <v>2717</v>
      </c>
      <c r="H482">
        <v>1543</v>
      </c>
      <c r="I482">
        <v>0.32917980800000002</v>
      </c>
      <c r="J482">
        <v>1.3014935009999999</v>
      </c>
      <c r="K482">
        <v>861</v>
      </c>
      <c r="L482">
        <v>1381</v>
      </c>
      <c r="M482" s="2">
        <v>1</v>
      </c>
      <c r="N482">
        <v>0.54420857300000003</v>
      </c>
      <c r="O482">
        <v>0.97145520500000004</v>
      </c>
      <c r="P482" t="b">
        <v>0</v>
      </c>
      <c r="Q482">
        <v>0.61672117699999995</v>
      </c>
      <c r="R482" s="2">
        <v>1</v>
      </c>
      <c r="S482" s="2" t="str">
        <f t="shared" si="29"/>
        <v>Apr</v>
      </c>
      <c r="T482">
        <f t="shared" si="30"/>
        <v>2026</v>
      </c>
      <c r="U482" s="2" t="str">
        <f t="shared" si="31"/>
        <v>Q2</v>
      </c>
      <c r="V482" t="str">
        <f t="shared" si="32"/>
        <v>Completed</v>
      </c>
    </row>
    <row r="483" spans="1:22" x14ac:dyDescent="0.3">
      <c r="A483" s="2">
        <v>482</v>
      </c>
      <c r="B483" s="1">
        <v>46139</v>
      </c>
      <c r="C483" s="2" t="s">
        <v>5</v>
      </c>
      <c r="D483">
        <v>3365</v>
      </c>
      <c r="E483">
        <v>1723</v>
      </c>
      <c r="F483">
        <v>399</v>
      </c>
      <c r="G483">
        <v>4707</v>
      </c>
      <c r="H483">
        <v>1723</v>
      </c>
      <c r="I483">
        <v>0.274200422</v>
      </c>
      <c r="J483">
        <v>1.1141377349999999</v>
      </c>
      <c r="K483">
        <v>3280</v>
      </c>
      <c r="L483">
        <v>2855</v>
      </c>
      <c r="M483" s="2">
        <v>8</v>
      </c>
      <c r="N483">
        <v>0.96831776700000005</v>
      </c>
      <c r="O483">
        <v>0.98265217999999999</v>
      </c>
      <c r="P483" t="b">
        <v>0</v>
      </c>
      <c r="Q483">
        <v>0.66618969699999997</v>
      </c>
      <c r="R483" s="2">
        <v>1</v>
      </c>
      <c r="S483" s="2" t="str">
        <f t="shared" si="29"/>
        <v>Apr</v>
      </c>
      <c r="T483">
        <f t="shared" si="30"/>
        <v>2026</v>
      </c>
      <c r="U483" s="2" t="str">
        <f t="shared" si="31"/>
        <v>Q2</v>
      </c>
      <c r="V483" t="str">
        <f t="shared" si="32"/>
        <v>Completed</v>
      </c>
    </row>
    <row r="484" spans="1:22" x14ac:dyDescent="0.3">
      <c r="A484" s="2">
        <v>483</v>
      </c>
      <c r="B484" s="1">
        <v>46140</v>
      </c>
      <c r="C484" s="2" t="s">
        <v>18</v>
      </c>
      <c r="D484">
        <v>1934</v>
      </c>
      <c r="E484">
        <v>3531</v>
      </c>
      <c r="F484">
        <v>2579</v>
      </c>
      <c r="G484">
        <v>1238</v>
      </c>
      <c r="H484">
        <v>3285</v>
      </c>
      <c r="I484">
        <v>0.24945817000000001</v>
      </c>
      <c r="J484">
        <v>2.5710262990000001</v>
      </c>
      <c r="K484">
        <v>2790</v>
      </c>
      <c r="L484">
        <v>1070</v>
      </c>
      <c r="M484" s="2">
        <v>7</v>
      </c>
      <c r="N484">
        <v>0.703672725</v>
      </c>
      <c r="O484">
        <v>0.94065746800000005</v>
      </c>
      <c r="P484" t="b">
        <v>0</v>
      </c>
      <c r="Q484">
        <v>0.37367129999999998</v>
      </c>
      <c r="R484" s="2">
        <v>1</v>
      </c>
      <c r="S484" s="2" t="str">
        <f t="shared" si="29"/>
        <v>Apr</v>
      </c>
      <c r="T484">
        <f t="shared" si="30"/>
        <v>2026</v>
      </c>
      <c r="U484" s="2" t="str">
        <f t="shared" si="31"/>
        <v>Q2</v>
      </c>
      <c r="V484" t="str">
        <f t="shared" si="32"/>
        <v>Completed</v>
      </c>
    </row>
    <row r="485" spans="1:22" x14ac:dyDescent="0.3">
      <c r="A485" s="2">
        <v>484</v>
      </c>
      <c r="B485" s="1">
        <v>46141</v>
      </c>
      <c r="C485" s="2" t="s">
        <v>5</v>
      </c>
      <c r="D485">
        <v>4413</v>
      </c>
      <c r="E485">
        <v>4479</v>
      </c>
      <c r="F485">
        <v>1529</v>
      </c>
      <c r="G485">
        <v>4014</v>
      </c>
      <c r="H485">
        <v>2941</v>
      </c>
      <c r="I485">
        <v>0.526027193</v>
      </c>
      <c r="J485">
        <v>2.0060065859999998</v>
      </c>
      <c r="K485">
        <v>671</v>
      </c>
      <c r="L485">
        <v>3577</v>
      </c>
      <c r="M485" s="2">
        <v>1</v>
      </c>
      <c r="N485">
        <v>1.8614505370000001</v>
      </c>
      <c r="O485">
        <v>0.85033977999999999</v>
      </c>
      <c r="P485" t="b">
        <v>0</v>
      </c>
      <c r="Q485">
        <v>0.88041700700000003</v>
      </c>
      <c r="R485" s="2">
        <v>1</v>
      </c>
      <c r="S485" s="2" t="str">
        <f t="shared" si="29"/>
        <v>Apr</v>
      </c>
      <c r="T485">
        <f t="shared" si="30"/>
        <v>2026</v>
      </c>
      <c r="U485" s="2" t="str">
        <f t="shared" si="31"/>
        <v>Q2</v>
      </c>
      <c r="V485" t="str">
        <f t="shared" si="32"/>
        <v>Completed</v>
      </c>
    </row>
    <row r="486" spans="1:22" x14ac:dyDescent="0.3">
      <c r="A486" s="2">
        <v>485</v>
      </c>
      <c r="B486" s="1">
        <v>46142</v>
      </c>
      <c r="C486" s="2" t="s">
        <v>5</v>
      </c>
      <c r="D486">
        <v>3558</v>
      </c>
      <c r="E486">
        <v>712</v>
      </c>
      <c r="F486">
        <v>3655</v>
      </c>
      <c r="G486">
        <v>2849</v>
      </c>
      <c r="H486">
        <v>2660</v>
      </c>
      <c r="I486">
        <v>0.43452039100000001</v>
      </c>
      <c r="J486">
        <v>0.86037523199999999</v>
      </c>
      <c r="K486">
        <v>795</v>
      </c>
      <c r="L486">
        <v>669</v>
      </c>
      <c r="M486" s="2">
        <v>6</v>
      </c>
      <c r="N486">
        <v>0.82045651900000005</v>
      </c>
      <c r="O486">
        <v>0.82398160099999995</v>
      </c>
      <c r="P486" t="b">
        <v>0</v>
      </c>
      <c r="Q486">
        <v>0.70564186399999995</v>
      </c>
      <c r="R486" s="2">
        <v>1</v>
      </c>
      <c r="S486" s="2" t="str">
        <f t="shared" si="29"/>
        <v>Apr</v>
      </c>
      <c r="T486">
        <f t="shared" si="30"/>
        <v>2026</v>
      </c>
      <c r="U486" s="2" t="str">
        <f t="shared" si="31"/>
        <v>Q2</v>
      </c>
      <c r="V486" t="str">
        <f t="shared" si="32"/>
        <v>Completed</v>
      </c>
    </row>
    <row r="487" spans="1:22" x14ac:dyDescent="0.3">
      <c r="A487" s="2">
        <v>486</v>
      </c>
      <c r="B487" s="1">
        <v>46143</v>
      </c>
      <c r="C487" s="2" t="s">
        <v>18</v>
      </c>
      <c r="D487">
        <v>4615</v>
      </c>
      <c r="E487">
        <v>4314</v>
      </c>
      <c r="F487">
        <v>1607</v>
      </c>
      <c r="G487">
        <v>3473</v>
      </c>
      <c r="H487">
        <v>2394</v>
      </c>
      <c r="I487">
        <v>0.57083168200000001</v>
      </c>
      <c r="J487">
        <v>1.9961734959999999</v>
      </c>
      <c r="K487">
        <v>2599</v>
      </c>
      <c r="L487">
        <v>1958</v>
      </c>
      <c r="M487" s="2">
        <v>9</v>
      </c>
      <c r="N487">
        <v>0.73832165100000002</v>
      </c>
      <c r="O487">
        <v>0.91840892200000002</v>
      </c>
      <c r="P487" t="b">
        <v>0</v>
      </c>
      <c r="Q487">
        <v>0.92170891300000002</v>
      </c>
      <c r="R487" s="2">
        <v>1</v>
      </c>
      <c r="S487" s="2" t="str">
        <f t="shared" si="29"/>
        <v>May</v>
      </c>
      <c r="T487">
        <f t="shared" si="30"/>
        <v>2026</v>
      </c>
      <c r="U487" s="2" t="str">
        <f t="shared" si="31"/>
        <v>Q2</v>
      </c>
      <c r="V487" t="str">
        <f t="shared" si="32"/>
        <v>Completed</v>
      </c>
    </row>
    <row r="488" spans="1:22" x14ac:dyDescent="0.3">
      <c r="A488" s="2">
        <v>487</v>
      </c>
      <c r="B488" s="1">
        <v>46144</v>
      </c>
      <c r="C488" s="2" t="s">
        <v>17</v>
      </c>
      <c r="D488">
        <v>3348</v>
      </c>
      <c r="E488">
        <v>3572</v>
      </c>
      <c r="F488">
        <v>2923</v>
      </c>
      <c r="G488">
        <v>1392</v>
      </c>
      <c r="H488">
        <v>2173</v>
      </c>
      <c r="I488">
        <v>0.75644581399999999</v>
      </c>
      <c r="J488">
        <v>1.0375241340000001</v>
      </c>
      <c r="K488">
        <v>2083</v>
      </c>
      <c r="L488">
        <v>3075</v>
      </c>
      <c r="M488" s="2">
        <v>5</v>
      </c>
      <c r="N488">
        <v>1.166769969</v>
      </c>
      <c r="O488">
        <v>0.87081774199999995</v>
      </c>
      <c r="P488" t="b">
        <v>0</v>
      </c>
      <c r="Q488">
        <v>0.66271463600000002</v>
      </c>
      <c r="R488" s="2">
        <v>1</v>
      </c>
      <c r="S488" s="2" t="str">
        <f t="shared" si="29"/>
        <v>May</v>
      </c>
      <c r="T488">
        <f t="shared" si="30"/>
        <v>2026</v>
      </c>
      <c r="U488" s="2" t="str">
        <f t="shared" si="31"/>
        <v>Q2</v>
      </c>
      <c r="V488" t="str">
        <f t="shared" si="32"/>
        <v>Completed</v>
      </c>
    </row>
    <row r="489" spans="1:22" x14ac:dyDescent="0.3">
      <c r="A489" s="2">
        <v>488</v>
      </c>
      <c r="B489" s="1">
        <v>46145</v>
      </c>
      <c r="C489" s="2" t="s">
        <v>16</v>
      </c>
      <c r="D489">
        <v>758</v>
      </c>
      <c r="E489">
        <v>533</v>
      </c>
      <c r="F489">
        <v>2408</v>
      </c>
      <c r="G489">
        <v>1112</v>
      </c>
      <c r="H489">
        <v>1943</v>
      </c>
      <c r="I489">
        <v>0.57998916199999995</v>
      </c>
      <c r="J489">
        <v>0.54762684800000005</v>
      </c>
      <c r="K489">
        <v>499</v>
      </c>
      <c r="L489">
        <v>1688</v>
      </c>
      <c r="M489" s="2">
        <v>5</v>
      </c>
      <c r="N489">
        <v>0.64701424799999996</v>
      </c>
      <c r="O489">
        <v>0.99279393500000002</v>
      </c>
      <c r="P489" t="b">
        <v>0</v>
      </c>
      <c r="Q489">
        <v>0.13327882299999999</v>
      </c>
      <c r="R489" s="2">
        <v>1</v>
      </c>
      <c r="S489" s="2" t="str">
        <f t="shared" si="29"/>
        <v>May</v>
      </c>
      <c r="T489">
        <f t="shared" si="30"/>
        <v>2026</v>
      </c>
      <c r="U489" s="2" t="str">
        <f t="shared" si="31"/>
        <v>Q2</v>
      </c>
      <c r="V489" t="str">
        <f t="shared" si="32"/>
        <v>Completed</v>
      </c>
    </row>
    <row r="490" spans="1:22" x14ac:dyDescent="0.3">
      <c r="A490" s="2">
        <v>489</v>
      </c>
      <c r="B490" s="1">
        <v>46146</v>
      </c>
      <c r="C490" s="2" t="s">
        <v>5</v>
      </c>
      <c r="D490">
        <v>4416</v>
      </c>
      <c r="E490">
        <v>2038</v>
      </c>
      <c r="F490">
        <v>544</v>
      </c>
      <c r="G490">
        <v>2908</v>
      </c>
      <c r="H490">
        <v>1823</v>
      </c>
      <c r="I490">
        <v>0.30121594800000001</v>
      </c>
      <c r="J490">
        <v>0.64903127500000002</v>
      </c>
      <c r="K490">
        <v>1402</v>
      </c>
      <c r="L490">
        <v>1397</v>
      </c>
      <c r="M490" s="2">
        <v>4</v>
      </c>
      <c r="N490">
        <v>0.66363713599999996</v>
      </c>
      <c r="O490">
        <v>0.90822446800000001</v>
      </c>
      <c r="P490" t="b">
        <v>0</v>
      </c>
      <c r="Q490">
        <v>0.88103025300000004</v>
      </c>
      <c r="R490" s="2">
        <v>0</v>
      </c>
      <c r="S490" s="2" t="str">
        <f t="shared" si="29"/>
        <v>May</v>
      </c>
      <c r="T490">
        <f t="shared" si="30"/>
        <v>2026</v>
      </c>
      <c r="U490" s="2" t="str">
        <f t="shared" si="31"/>
        <v>Q2</v>
      </c>
      <c r="V490" t="str">
        <f t="shared" si="32"/>
        <v>Completed</v>
      </c>
    </row>
    <row r="491" spans="1:22" x14ac:dyDescent="0.3">
      <c r="A491" s="2">
        <v>490</v>
      </c>
      <c r="B491" s="1">
        <v>46147</v>
      </c>
      <c r="C491" s="2" t="s">
        <v>5</v>
      </c>
      <c r="D491">
        <v>2968</v>
      </c>
      <c r="E491">
        <v>4058</v>
      </c>
      <c r="F491">
        <v>1151</v>
      </c>
      <c r="G491">
        <v>2984</v>
      </c>
      <c r="H491">
        <v>1729</v>
      </c>
      <c r="I491">
        <v>0.55860372300000005</v>
      </c>
      <c r="J491">
        <v>1.745006558</v>
      </c>
      <c r="K491">
        <v>1487</v>
      </c>
      <c r="L491">
        <v>3036</v>
      </c>
      <c r="M491" s="2">
        <v>9</v>
      </c>
      <c r="N491">
        <v>0.56794195700000005</v>
      </c>
      <c r="O491">
        <v>0.81738681499999999</v>
      </c>
      <c r="P491" t="b">
        <v>0</v>
      </c>
      <c r="Q491">
        <v>0.58503679500000005</v>
      </c>
      <c r="R491" s="2">
        <v>1</v>
      </c>
      <c r="S491" s="2" t="str">
        <f t="shared" si="29"/>
        <v>May</v>
      </c>
      <c r="T491">
        <f t="shared" si="30"/>
        <v>2026</v>
      </c>
      <c r="U491" s="2" t="str">
        <f t="shared" si="31"/>
        <v>Q2</v>
      </c>
      <c r="V491" t="str">
        <f t="shared" si="32"/>
        <v>Failed</v>
      </c>
    </row>
    <row r="492" spans="1:22" x14ac:dyDescent="0.3">
      <c r="A492" s="2">
        <v>491</v>
      </c>
      <c r="B492" s="1">
        <v>46148</v>
      </c>
      <c r="C492" s="2" t="s">
        <v>18</v>
      </c>
      <c r="D492">
        <v>2673</v>
      </c>
      <c r="E492">
        <v>3609</v>
      </c>
      <c r="F492">
        <v>592</v>
      </c>
      <c r="G492">
        <v>2001</v>
      </c>
      <c r="H492">
        <v>1202</v>
      </c>
      <c r="I492">
        <v>0.717874491</v>
      </c>
      <c r="J492">
        <v>1.215524735</v>
      </c>
      <c r="K492">
        <v>2892</v>
      </c>
      <c r="L492">
        <v>3461</v>
      </c>
      <c r="M492" s="2">
        <v>6</v>
      </c>
      <c r="N492">
        <v>1.434275505</v>
      </c>
      <c r="O492">
        <v>0.86995157899999997</v>
      </c>
      <c r="P492" t="b">
        <v>0</v>
      </c>
      <c r="Q492">
        <v>0.52473426000000001</v>
      </c>
      <c r="R492" s="2">
        <v>1</v>
      </c>
      <c r="S492" s="2" t="str">
        <f t="shared" si="29"/>
        <v>May</v>
      </c>
      <c r="T492">
        <f t="shared" si="30"/>
        <v>2026</v>
      </c>
      <c r="U492" s="2" t="str">
        <f t="shared" si="31"/>
        <v>Q2</v>
      </c>
      <c r="V492" t="str">
        <f t="shared" si="32"/>
        <v>Completed</v>
      </c>
    </row>
    <row r="493" spans="1:22" x14ac:dyDescent="0.3">
      <c r="A493" s="2">
        <v>492</v>
      </c>
      <c r="B493" s="1">
        <v>46149</v>
      </c>
      <c r="C493" s="2" t="s">
        <v>17</v>
      </c>
      <c r="D493">
        <v>4471</v>
      </c>
      <c r="E493">
        <v>1473</v>
      </c>
      <c r="F493">
        <v>1885</v>
      </c>
      <c r="G493">
        <v>4530</v>
      </c>
      <c r="H493">
        <v>2401</v>
      </c>
      <c r="I493">
        <v>0.79705110700000004</v>
      </c>
      <c r="J493">
        <v>1.7191312919999999</v>
      </c>
      <c r="K493">
        <v>2649</v>
      </c>
      <c r="L493">
        <v>2113</v>
      </c>
      <c r="M493" s="2">
        <v>3</v>
      </c>
      <c r="N493">
        <v>1.635643135</v>
      </c>
      <c r="O493">
        <v>0.88660413100000002</v>
      </c>
      <c r="P493" t="b">
        <v>0</v>
      </c>
      <c r="Q493">
        <v>0.89227309899999996</v>
      </c>
      <c r="R493" s="2">
        <v>1</v>
      </c>
      <c r="S493" s="2" t="str">
        <f t="shared" si="29"/>
        <v>May</v>
      </c>
      <c r="T493">
        <f t="shared" si="30"/>
        <v>2026</v>
      </c>
      <c r="U493" s="2" t="str">
        <f t="shared" si="31"/>
        <v>Q2</v>
      </c>
      <c r="V493" t="str">
        <f t="shared" si="32"/>
        <v>Completed</v>
      </c>
    </row>
    <row r="494" spans="1:22" x14ac:dyDescent="0.3">
      <c r="A494" s="2">
        <v>493</v>
      </c>
      <c r="B494" s="1">
        <v>46150</v>
      </c>
      <c r="C494" s="2" t="s">
        <v>16</v>
      </c>
      <c r="D494">
        <v>1954</v>
      </c>
      <c r="E494">
        <v>3900</v>
      </c>
      <c r="F494">
        <v>3109</v>
      </c>
      <c r="G494">
        <v>2877</v>
      </c>
      <c r="H494">
        <v>899</v>
      </c>
      <c r="I494">
        <v>0.62354273299999996</v>
      </c>
      <c r="J494">
        <v>1.2992361130000001</v>
      </c>
      <c r="K494">
        <v>1651</v>
      </c>
      <c r="L494">
        <v>3093</v>
      </c>
      <c r="M494" s="2">
        <v>6</v>
      </c>
      <c r="N494">
        <v>1.462777993</v>
      </c>
      <c r="O494">
        <v>0.99942520400000001</v>
      </c>
      <c r="P494" t="b">
        <v>0</v>
      </c>
      <c r="Q494">
        <v>0.37775960800000002</v>
      </c>
      <c r="R494" s="2">
        <v>0</v>
      </c>
      <c r="S494" s="2" t="str">
        <f t="shared" si="29"/>
        <v>May</v>
      </c>
      <c r="T494">
        <f t="shared" si="30"/>
        <v>2026</v>
      </c>
      <c r="U494" s="2" t="str">
        <f t="shared" si="31"/>
        <v>Q2</v>
      </c>
      <c r="V494" t="str">
        <f t="shared" si="32"/>
        <v>Completed</v>
      </c>
    </row>
    <row r="495" spans="1:22" x14ac:dyDescent="0.3">
      <c r="A495" s="2">
        <v>494</v>
      </c>
      <c r="B495" s="1">
        <v>46151</v>
      </c>
      <c r="C495" s="2" t="s">
        <v>5</v>
      </c>
      <c r="D495">
        <v>3740</v>
      </c>
      <c r="E495">
        <v>2754</v>
      </c>
      <c r="F495">
        <v>1656</v>
      </c>
      <c r="G495">
        <v>2466</v>
      </c>
      <c r="H495">
        <v>2674</v>
      </c>
      <c r="I495">
        <v>0.44150270000000003</v>
      </c>
      <c r="J495">
        <v>1.978554235</v>
      </c>
      <c r="K495">
        <v>1508</v>
      </c>
      <c r="L495">
        <v>536</v>
      </c>
      <c r="M495" s="2">
        <v>1</v>
      </c>
      <c r="N495">
        <v>1.1569014419999999</v>
      </c>
      <c r="O495">
        <v>0.91210197199999998</v>
      </c>
      <c r="P495" t="b">
        <v>0</v>
      </c>
      <c r="Q495">
        <v>0.74284546200000001</v>
      </c>
      <c r="R495" s="2">
        <v>1</v>
      </c>
      <c r="S495" s="2" t="str">
        <f t="shared" si="29"/>
        <v>May</v>
      </c>
      <c r="T495">
        <f t="shared" si="30"/>
        <v>2026</v>
      </c>
      <c r="U495" s="2" t="str">
        <f t="shared" si="31"/>
        <v>Q2</v>
      </c>
      <c r="V495" t="str">
        <f t="shared" si="32"/>
        <v>Failed</v>
      </c>
    </row>
    <row r="496" spans="1:22" x14ac:dyDescent="0.3">
      <c r="A496" s="2">
        <v>495</v>
      </c>
      <c r="B496" s="1">
        <v>46152</v>
      </c>
      <c r="C496" s="2" t="s">
        <v>18</v>
      </c>
      <c r="D496">
        <v>417</v>
      </c>
      <c r="E496">
        <v>3951</v>
      </c>
      <c r="F496">
        <v>2785</v>
      </c>
      <c r="G496">
        <v>741</v>
      </c>
      <c r="H496">
        <v>3644</v>
      </c>
      <c r="I496">
        <v>0.30679303600000002</v>
      </c>
      <c r="J496">
        <v>1.0230662500000001</v>
      </c>
      <c r="K496">
        <v>1491</v>
      </c>
      <c r="L496">
        <v>2215</v>
      </c>
      <c r="M496" s="2">
        <v>8</v>
      </c>
      <c r="N496">
        <v>0.67420390399999997</v>
      </c>
      <c r="O496">
        <v>0.91312731199999997</v>
      </c>
      <c r="P496" t="b">
        <v>0</v>
      </c>
      <c r="Q496">
        <v>6.3573181000000006E-2</v>
      </c>
      <c r="R496" s="2">
        <v>1</v>
      </c>
      <c r="S496" s="2" t="str">
        <f t="shared" si="29"/>
        <v>May</v>
      </c>
      <c r="T496">
        <f t="shared" si="30"/>
        <v>2026</v>
      </c>
      <c r="U496" s="2" t="str">
        <f t="shared" si="31"/>
        <v>Q2</v>
      </c>
      <c r="V496" t="str">
        <f t="shared" si="32"/>
        <v>Completed</v>
      </c>
    </row>
    <row r="497" spans="1:22" x14ac:dyDescent="0.3">
      <c r="A497" s="2">
        <v>496</v>
      </c>
      <c r="B497" s="1">
        <v>46153</v>
      </c>
      <c r="C497" s="2" t="s">
        <v>18</v>
      </c>
      <c r="D497">
        <v>3740</v>
      </c>
      <c r="E497">
        <v>3079</v>
      </c>
      <c r="F497">
        <v>3105</v>
      </c>
      <c r="G497">
        <v>2198</v>
      </c>
      <c r="H497">
        <v>2131</v>
      </c>
      <c r="I497">
        <v>0.49630894599999997</v>
      </c>
      <c r="J497">
        <v>1.0498665519999999</v>
      </c>
      <c r="K497">
        <v>2990</v>
      </c>
      <c r="L497">
        <v>1628</v>
      </c>
      <c r="M497" s="2">
        <v>3</v>
      </c>
      <c r="N497">
        <v>1.8921170110000001</v>
      </c>
      <c r="O497">
        <v>0.87048075400000002</v>
      </c>
      <c r="P497" t="b">
        <v>0</v>
      </c>
      <c r="Q497">
        <v>0.74284546200000001</v>
      </c>
      <c r="R497" s="2">
        <v>1</v>
      </c>
      <c r="S497" s="2" t="str">
        <f t="shared" si="29"/>
        <v>May</v>
      </c>
      <c r="T497">
        <f t="shared" si="30"/>
        <v>2026</v>
      </c>
      <c r="U497" s="2" t="str">
        <f t="shared" si="31"/>
        <v>Q2</v>
      </c>
      <c r="V497" t="str">
        <f t="shared" si="32"/>
        <v>Completed</v>
      </c>
    </row>
    <row r="498" spans="1:22" x14ac:dyDescent="0.3">
      <c r="A498" s="2">
        <v>497</v>
      </c>
      <c r="B498" s="1">
        <v>46154</v>
      </c>
      <c r="C498" s="2" t="s">
        <v>17</v>
      </c>
      <c r="D498">
        <v>1573</v>
      </c>
      <c r="E498">
        <v>991</v>
      </c>
      <c r="F498">
        <v>1458</v>
      </c>
      <c r="G498">
        <v>2336</v>
      </c>
      <c r="H498">
        <v>1050</v>
      </c>
      <c r="I498">
        <v>0.73921972999999996</v>
      </c>
      <c r="J498">
        <v>2.7313507279999998</v>
      </c>
      <c r="K498">
        <v>2631</v>
      </c>
      <c r="L498">
        <v>1587</v>
      </c>
      <c r="M498" s="2">
        <v>7</v>
      </c>
      <c r="N498">
        <v>1.7205912350000001</v>
      </c>
      <c r="O498">
        <v>0.87671243899999995</v>
      </c>
      <c r="P498" t="b">
        <v>0</v>
      </c>
      <c r="Q498">
        <v>0.29987735100000001</v>
      </c>
      <c r="R498" s="2">
        <v>1</v>
      </c>
      <c r="S498" s="2" t="str">
        <f t="shared" si="29"/>
        <v>May</v>
      </c>
      <c r="T498">
        <f t="shared" si="30"/>
        <v>2026</v>
      </c>
      <c r="U498" s="2" t="str">
        <f t="shared" si="31"/>
        <v>Q2</v>
      </c>
      <c r="V498" t="str">
        <f t="shared" si="32"/>
        <v>Completed</v>
      </c>
    </row>
    <row r="499" spans="1:22" x14ac:dyDescent="0.3">
      <c r="A499" s="2">
        <v>498</v>
      </c>
      <c r="B499" s="1">
        <v>46155</v>
      </c>
      <c r="C499" s="2" t="s">
        <v>5</v>
      </c>
      <c r="D499">
        <v>935</v>
      </c>
      <c r="E499">
        <v>2661</v>
      </c>
      <c r="F499">
        <v>3054</v>
      </c>
      <c r="G499">
        <v>2114</v>
      </c>
      <c r="H499">
        <v>2442</v>
      </c>
      <c r="I499">
        <v>0.27720062200000001</v>
      </c>
      <c r="J499">
        <v>2.5286441650000002</v>
      </c>
      <c r="K499">
        <v>1831</v>
      </c>
      <c r="L499">
        <v>2566</v>
      </c>
      <c r="M499" s="2">
        <v>1</v>
      </c>
      <c r="N499">
        <v>1.951650852</v>
      </c>
      <c r="O499">
        <v>0.80846908500000003</v>
      </c>
      <c r="P499" t="b">
        <v>0</v>
      </c>
      <c r="Q499">
        <v>0.16946034300000001</v>
      </c>
      <c r="R499" s="2">
        <v>1</v>
      </c>
      <c r="S499" s="2" t="str">
        <f t="shared" si="29"/>
        <v>May</v>
      </c>
      <c r="T499">
        <f t="shared" si="30"/>
        <v>2026</v>
      </c>
      <c r="U499" s="2" t="str">
        <f t="shared" si="31"/>
        <v>Q2</v>
      </c>
      <c r="V499" t="str">
        <f t="shared" si="32"/>
        <v>Completed</v>
      </c>
    </row>
    <row r="500" spans="1:22" x14ac:dyDescent="0.3">
      <c r="A500" s="2">
        <v>499</v>
      </c>
      <c r="B500" s="1">
        <v>46156</v>
      </c>
      <c r="C500" s="2" t="s">
        <v>18</v>
      </c>
      <c r="D500">
        <v>951</v>
      </c>
      <c r="E500">
        <v>767</v>
      </c>
      <c r="F500">
        <v>2714</v>
      </c>
      <c r="G500">
        <v>560</v>
      </c>
      <c r="H500">
        <v>3059</v>
      </c>
      <c r="I500">
        <v>0.68074512300000001</v>
      </c>
      <c r="J500">
        <v>1.351000059</v>
      </c>
      <c r="K500">
        <v>2487</v>
      </c>
      <c r="L500">
        <v>1320</v>
      </c>
      <c r="M500" s="2">
        <v>7</v>
      </c>
      <c r="N500">
        <v>0.855564883</v>
      </c>
      <c r="O500">
        <v>0.97033292100000001</v>
      </c>
      <c r="P500" t="b">
        <v>0</v>
      </c>
      <c r="Q500">
        <v>0.172730989</v>
      </c>
      <c r="R500" s="2">
        <v>1</v>
      </c>
      <c r="S500" s="2" t="str">
        <f t="shared" si="29"/>
        <v>May</v>
      </c>
      <c r="T500">
        <f t="shared" si="30"/>
        <v>2026</v>
      </c>
      <c r="U500" s="2" t="str">
        <f t="shared" si="31"/>
        <v>Q2</v>
      </c>
      <c r="V500" t="str">
        <f t="shared" si="32"/>
        <v>Completed</v>
      </c>
    </row>
    <row r="501" spans="1:22" x14ac:dyDescent="0.3">
      <c r="A501" s="2">
        <v>500</v>
      </c>
      <c r="B501" s="1">
        <v>46157</v>
      </c>
      <c r="C501" s="2" t="s">
        <v>16</v>
      </c>
      <c r="D501">
        <v>3005</v>
      </c>
      <c r="E501">
        <v>1686</v>
      </c>
      <c r="F501">
        <v>3951</v>
      </c>
      <c r="G501">
        <v>3606</v>
      </c>
      <c r="H501">
        <v>3962</v>
      </c>
      <c r="I501">
        <v>0.232726567</v>
      </c>
      <c r="J501">
        <v>2.6544492220000002</v>
      </c>
      <c r="K501">
        <v>3441</v>
      </c>
      <c r="L501">
        <v>3924</v>
      </c>
      <c r="M501" s="2">
        <v>1</v>
      </c>
      <c r="N501">
        <v>0.77516148699999998</v>
      </c>
      <c r="O501">
        <v>0.87704476200000003</v>
      </c>
      <c r="P501" t="b">
        <v>0</v>
      </c>
      <c r="Q501">
        <v>0.59260016400000004</v>
      </c>
      <c r="R501" s="2">
        <v>1</v>
      </c>
      <c r="S501" s="2" t="str">
        <f t="shared" si="29"/>
        <v>May</v>
      </c>
      <c r="T501">
        <f t="shared" si="30"/>
        <v>2026</v>
      </c>
      <c r="U501" s="2" t="str">
        <f t="shared" si="31"/>
        <v>Q2</v>
      </c>
      <c r="V501" t="str">
        <f t="shared" si="32"/>
        <v>Completed</v>
      </c>
    </row>
    <row r="502" spans="1:22" x14ac:dyDescent="0.3">
      <c r="A502" s="2">
        <v>501</v>
      </c>
      <c r="B502" s="1">
        <v>46158</v>
      </c>
      <c r="C502" s="2" t="s">
        <v>17</v>
      </c>
      <c r="D502">
        <v>3303</v>
      </c>
      <c r="E502">
        <v>3663</v>
      </c>
      <c r="F502">
        <v>2650</v>
      </c>
      <c r="G502">
        <v>3986</v>
      </c>
      <c r="H502">
        <v>586</v>
      </c>
      <c r="I502">
        <v>0.398867415</v>
      </c>
      <c r="J502">
        <v>1.3490908829999999</v>
      </c>
      <c r="K502">
        <v>1814</v>
      </c>
      <c r="L502">
        <v>1094</v>
      </c>
      <c r="M502" s="2">
        <v>5</v>
      </c>
      <c r="N502">
        <v>1.8647415220000001</v>
      </c>
      <c r="O502">
        <v>0.80144172700000005</v>
      </c>
      <c r="P502" t="b">
        <v>0</v>
      </c>
      <c r="Q502">
        <v>0.65351594400000002</v>
      </c>
      <c r="R502" s="2">
        <v>1</v>
      </c>
      <c r="S502" s="2" t="str">
        <f t="shared" si="29"/>
        <v>May</v>
      </c>
      <c r="T502">
        <f t="shared" si="30"/>
        <v>2026</v>
      </c>
      <c r="U502" s="2" t="str">
        <f t="shared" si="31"/>
        <v>Q2</v>
      </c>
      <c r="V502" t="str">
        <f t="shared" si="32"/>
        <v>Completed</v>
      </c>
    </row>
    <row r="503" spans="1:22" x14ac:dyDescent="0.3">
      <c r="A503" s="2">
        <v>502</v>
      </c>
      <c r="B503" s="1">
        <v>46159</v>
      </c>
      <c r="C503" s="2" t="s">
        <v>16</v>
      </c>
      <c r="D503">
        <v>1133</v>
      </c>
      <c r="E503">
        <v>1457</v>
      </c>
      <c r="F503">
        <v>2275</v>
      </c>
      <c r="G503">
        <v>833</v>
      </c>
      <c r="H503">
        <v>3735</v>
      </c>
      <c r="I503">
        <v>0.455796164</v>
      </c>
      <c r="J503">
        <v>1.8807574250000001</v>
      </c>
      <c r="K503">
        <v>2869</v>
      </c>
      <c r="L503">
        <v>2682</v>
      </c>
      <c r="M503" s="2">
        <v>8</v>
      </c>
      <c r="N503">
        <v>0.58183666999999994</v>
      </c>
      <c r="O503">
        <v>0.82942443099999996</v>
      </c>
      <c r="P503" t="b">
        <v>0</v>
      </c>
      <c r="Q503">
        <v>0.20993458700000001</v>
      </c>
      <c r="R503" s="2">
        <v>1</v>
      </c>
      <c r="S503" s="2" t="str">
        <f t="shared" si="29"/>
        <v>May</v>
      </c>
      <c r="T503">
        <f t="shared" si="30"/>
        <v>2026</v>
      </c>
      <c r="U503" s="2" t="str">
        <f t="shared" si="31"/>
        <v>Q2</v>
      </c>
      <c r="V503" t="str">
        <f t="shared" si="32"/>
        <v>Completed</v>
      </c>
    </row>
    <row r="504" spans="1:22" x14ac:dyDescent="0.3">
      <c r="A504" s="2">
        <v>503</v>
      </c>
      <c r="B504" s="1">
        <v>46160</v>
      </c>
      <c r="C504" s="2" t="s">
        <v>18</v>
      </c>
      <c r="D504">
        <v>2131</v>
      </c>
      <c r="E504">
        <v>3015</v>
      </c>
      <c r="F504">
        <v>736</v>
      </c>
      <c r="G504">
        <v>1202</v>
      </c>
      <c r="H504">
        <v>2465</v>
      </c>
      <c r="I504">
        <v>0.45887166200000001</v>
      </c>
      <c r="J504">
        <v>2.9904330250000002</v>
      </c>
      <c r="K504">
        <v>3830</v>
      </c>
      <c r="L504">
        <v>886</v>
      </c>
      <c r="M504" s="2">
        <v>4</v>
      </c>
      <c r="N504">
        <v>1.2515306349999999</v>
      </c>
      <c r="O504">
        <v>0.84134102399999999</v>
      </c>
      <c r="P504" t="b">
        <v>0</v>
      </c>
      <c r="Q504">
        <v>0.41394112799999999</v>
      </c>
      <c r="R504" s="2">
        <v>0</v>
      </c>
      <c r="S504" s="2" t="str">
        <f t="shared" si="29"/>
        <v>May</v>
      </c>
      <c r="T504">
        <f t="shared" si="30"/>
        <v>2026</v>
      </c>
      <c r="U504" s="2" t="str">
        <f t="shared" si="31"/>
        <v>Q2</v>
      </c>
      <c r="V504" t="str">
        <f t="shared" si="32"/>
        <v>Completed</v>
      </c>
    </row>
    <row r="505" spans="1:22" x14ac:dyDescent="0.3">
      <c r="A505" s="2">
        <v>504</v>
      </c>
      <c r="B505" s="1">
        <v>46161</v>
      </c>
      <c r="C505" s="2" t="s">
        <v>18</v>
      </c>
      <c r="D505">
        <v>1365</v>
      </c>
      <c r="E505">
        <v>2559</v>
      </c>
      <c r="F505">
        <v>3341</v>
      </c>
      <c r="G505">
        <v>3032</v>
      </c>
      <c r="H505">
        <v>3270</v>
      </c>
      <c r="I505">
        <v>0.486183219</v>
      </c>
      <c r="J505">
        <v>0.746022038</v>
      </c>
      <c r="K505">
        <v>4019</v>
      </c>
      <c r="L505">
        <v>3692</v>
      </c>
      <c r="M505" s="2">
        <v>1</v>
      </c>
      <c r="N505">
        <v>1.4227541969999999</v>
      </c>
      <c r="O505">
        <v>0.803447205</v>
      </c>
      <c r="P505" t="b">
        <v>0</v>
      </c>
      <c r="Q505">
        <v>0.257358953</v>
      </c>
      <c r="R505" s="2">
        <v>1</v>
      </c>
      <c r="S505" s="2" t="str">
        <f t="shared" si="29"/>
        <v>May</v>
      </c>
      <c r="T505">
        <f t="shared" si="30"/>
        <v>2026</v>
      </c>
      <c r="U505" s="2" t="str">
        <f t="shared" si="31"/>
        <v>Q2</v>
      </c>
      <c r="V505" t="str">
        <f t="shared" si="32"/>
        <v>Failed</v>
      </c>
    </row>
    <row r="506" spans="1:22" x14ac:dyDescent="0.3">
      <c r="A506" s="2">
        <v>505</v>
      </c>
      <c r="B506" s="1">
        <v>46162</v>
      </c>
      <c r="C506" s="2" t="s">
        <v>16</v>
      </c>
      <c r="D506">
        <v>310</v>
      </c>
      <c r="E506">
        <v>2921</v>
      </c>
      <c r="F506">
        <v>938</v>
      </c>
      <c r="G506">
        <v>4854</v>
      </c>
      <c r="H506">
        <v>2377</v>
      </c>
      <c r="I506">
        <v>0.26247768399999999</v>
      </c>
      <c r="J506">
        <v>1.8574274529999999</v>
      </c>
      <c r="K506">
        <v>456</v>
      </c>
      <c r="L506">
        <v>3951</v>
      </c>
      <c r="M506" s="2">
        <v>3</v>
      </c>
      <c r="N506">
        <v>1.9040252070000001</v>
      </c>
      <c r="O506">
        <v>0.93602874899999999</v>
      </c>
      <c r="P506" t="b">
        <v>0</v>
      </c>
      <c r="Q506">
        <v>4.1700736000000002E-2</v>
      </c>
      <c r="R506" s="2">
        <v>1</v>
      </c>
      <c r="S506" s="2" t="str">
        <f t="shared" si="29"/>
        <v>May</v>
      </c>
      <c r="T506">
        <f t="shared" si="30"/>
        <v>2026</v>
      </c>
      <c r="U506" s="2" t="str">
        <f t="shared" si="31"/>
        <v>Q2</v>
      </c>
      <c r="V506" t="str">
        <f t="shared" si="32"/>
        <v>Completed</v>
      </c>
    </row>
    <row r="507" spans="1:22" x14ac:dyDescent="0.3">
      <c r="A507" s="2">
        <v>506</v>
      </c>
      <c r="B507" s="1">
        <v>46163</v>
      </c>
      <c r="C507" s="2" t="s">
        <v>17</v>
      </c>
      <c r="D507">
        <v>610</v>
      </c>
      <c r="E507">
        <v>996</v>
      </c>
      <c r="F507">
        <v>3746</v>
      </c>
      <c r="G507">
        <v>4769</v>
      </c>
      <c r="H507">
        <v>1696</v>
      </c>
      <c r="I507">
        <v>0.239894634</v>
      </c>
      <c r="J507">
        <v>2.4089511400000001</v>
      </c>
      <c r="K507">
        <v>322</v>
      </c>
      <c r="L507">
        <v>1048</v>
      </c>
      <c r="M507" s="2">
        <v>9</v>
      </c>
      <c r="N507">
        <v>1.606097715</v>
      </c>
      <c r="O507">
        <v>0.92164088799999999</v>
      </c>
      <c r="P507" t="b">
        <v>0</v>
      </c>
      <c r="Q507">
        <v>0.103025348</v>
      </c>
      <c r="R507" s="2">
        <v>1</v>
      </c>
      <c r="S507" s="2" t="str">
        <f t="shared" si="29"/>
        <v>May</v>
      </c>
      <c r="T507">
        <f t="shared" si="30"/>
        <v>2026</v>
      </c>
      <c r="U507" s="2" t="str">
        <f t="shared" si="31"/>
        <v>Q2</v>
      </c>
      <c r="V507" t="str">
        <f t="shared" si="32"/>
        <v>Completed</v>
      </c>
    </row>
    <row r="508" spans="1:22" x14ac:dyDescent="0.3">
      <c r="A508" s="2">
        <v>507</v>
      </c>
      <c r="B508" s="1">
        <v>46164</v>
      </c>
      <c r="C508" s="2" t="s">
        <v>17</v>
      </c>
      <c r="D508">
        <v>4444</v>
      </c>
      <c r="E508">
        <v>4182</v>
      </c>
      <c r="F508">
        <v>2005</v>
      </c>
      <c r="G508">
        <v>2838</v>
      </c>
      <c r="H508">
        <v>2338</v>
      </c>
      <c r="I508">
        <v>0.43482331299999999</v>
      </c>
      <c r="J508">
        <v>1.0616590850000001</v>
      </c>
      <c r="K508">
        <v>3463</v>
      </c>
      <c r="L508">
        <v>3147</v>
      </c>
      <c r="M508" s="2">
        <v>7</v>
      </c>
      <c r="N508">
        <v>1.14774741</v>
      </c>
      <c r="O508">
        <v>0.901501946</v>
      </c>
      <c r="P508" t="b">
        <v>0</v>
      </c>
      <c r="Q508">
        <v>0.88675388399999999</v>
      </c>
      <c r="R508" s="2">
        <v>1</v>
      </c>
      <c r="S508" s="2" t="str">
        <f t="shared" si="29"/>
        <v>May</v>
      </c>
      <c r="T508">
        <f t="shared" si="30"/>
        <v>2026</v>
      </c>
      <c r="U508" s="2" t="str">
        <f t="shared" si="31"/>
        <v>Q2</v>
      </c>
      <c r="V508" t="str">
        <f t="shared" si="32"/>
        <v>Completed</v>
      </c>
    </row>
    <row r="509" spans="1:22" x14ac:dyDescent="0.3">
      <c r="A509" s="2">
        <v>508</v>
      </c>
      <c r="B509" s="1">
        <v>46165</v>
      </c>
      <c r="C509" s="2" t="s">
        <v>5</v>
      </c>
      <c r="D509">
        <v>1680</v>
      </c>
      <c r="E509">
        <v>2671</v>
      </c>
      <c r="F509">
        <v>1225</v>
      </c>
      <c r="G509">
        <v>2806</v>
      </c>
      <c r="H509">
        <v>799</v>
      </c>
      <c r="I509">
        <v>0.248462918</v>
      </c>
      <c r="J509">
        <v>2.2881366089999999</v>
      </c>
      <c r="K509">
        <v>2810</v>
      </c>
      <c r="L509">
        <v>2215</v>
      </c>
      <c r="M509" s="2">
        <v>9</v>
      </c>
      <c r="N509">
        <v>0.994468091</v>
      </c>
      <c r="O509">
        <v>0.96646561099999995</v>
      </c>
      <c r="P509" t="b">
        <v>0</v>
      </c>
      <c r="Q509">
        <v>0.32174979599999998</v>
      </c>
      <c r="R509" s="2">
        <v>1</v>
      </c>
      <c r="S509" s="2" t="str">
        <f t="shared" si="29"/>
        <v>May</v>
      </c>
      <c r="T509">
        <f t="shared" si="30"/>
        <v>2026</v>
      </c>
      <c r="U509" s="2" t="str">
        <f t="shared" si="31"/>
        <v>Q2</v>
      </c>
      <c r="V509" t="str">
        <f t="shared" si="32"/>
        <v>Completed</v>
      </c>
    </row>
    <row r="510" spans="1:22" x14ac:dyDescent="0.3">
      <c r="A510" s="2">
        <v>509</v>
      </c>
      <c r="B510" s="1">
        <v>46166</v>
      </c>
      <c r="C510" s="2" t="s">
        <v>16</v>
      </c>
      <c r="D510">
        <v>4142</v>
      </c>
      <c r="E510">
        <v>1257</v>
      </c>
      <c r="F510">
        <v>2218</v>
      </c>
      <c r="G510">
        <v>3263</v>
      </c>
      <c r="H510">
        <v>3020</v>
      </c>
      <c r="I510">
        <v>0.284449587</v>
      </c>
      <c r="J510">
        <v>2.8033758899999999</v>
      </c>
      <c r="K510">
        <v>3445</v>
      </c>
      <c r="L510">
        <v>3965</v>
      </c>
      <c r="M510" s="2">
        <v>7</v>
      </c>
      <c r="N510">
        <v>1.3873513470000001</v>
      </c>
      <c r="O510">
        <v>0.91230350800000004</v>
      </c>
      <c r="P510" t="b">
        <v>0</v>
      </c>
      <c r="Q510">
        <v>0.82502044200000002</v>
      </c>
      <c r="R510" s="2">
        <v>1</v>
      </c>
      <c r="S510" s="2" t="str">
        <f t="shared" si="29"/>
        <v>May</v>
      </c>
      <c r="T510">
        <f t="shared" si="30"/>
        <v>2026</v>
      </c>
      <c r="U510" s="2" t="str">
        <f t="shared" si="31"/>
        <v>Q2</v>
      </c>
      <c r="V510" t="str">
        <f t="shared" si="32"/>
        <v>Completed</v>
      </c>
    </row>
    <row r="511" spans="1:22" x14ac:dyDescent="0.3">
      <c r="A511" s="2">
        <v>510</v>
      </c>
      <c r="B511" s="1">
        <v>46167</v>
      </c>
      <c r="C511" s="2" t="s">
        <v>18</v>
      </c>
      <c r="D511">
        <v>4267</v>
      </c>
      <c r="E511">
        <v>810</v>
      </c>
      <c r="F511">
        <v>3250</v>
      </c>
      <c r="G511">
        <v>622</v>
      </c>
      <c r="H511">
        <v>546</v>
      </c>
      <c r="I511">
        <v>0.44684689100000002</v>
      </c>
      <c r="J511">
        <v>1.961874957</v>
      </c>
      <c r="K511">
        <v>759</v>
      </c>
      <c r="L511">
        <v>2590</v>
      </c>
      <c r="M511" s="2">
        <v>6</v>
      </c>
      <c r="N511">
        <v>0.71056064799999996</v>
      </c>
      <c r="O511">
        <v>0.95952053299999995</v>
      </c>
      <c r="P511" t="b">
        <v>0</v>
      </c>
      <c r="Q511">
        <v>0.85057236300000005</v>
      </c>
      <c r="R511" s="2">
        <v>1</v>
      </c>
      <c r="S511" s="2" t="str">
        <f t="shared" si="29"/>
        <v>May</v>
      </c>
      <c r="T511">
        <f t="shared" si="30"/>
        <v>2026</v>
      </c>
      <c r="U511" s="2" t="str">
        <f t="shared" si="31"/>
        <v>Q2</v>
      </c>
      <c r="V511" t="str">
        <f t="shared" si="32"/>
        <v>Completed</v>
      </c>
    </row>
    <row r="512" spans="1:22" x14ac:dyDescent="0.3">
      <c r="A512" s="2">
        <v>511</v>
      </c>
      <c r="B512" s="1">
        <v>46168</v>
      </c>
      <c r="C512" s="2" t="s">
        <v>17</v>
      </c>
      <c r="D512">
        <v>1673</v>
      </c>
      <c r="E512">
        <v>1889</v>
      </c>
      <c r="F512">
        <v>494</v>
      </c>
      <c r="G512">
        <v>3527</v>
      </c>
      <c r="H512">
        <v>703</v>
      </c>
      <c r="I512">
        <v>0.26866912300000001</v>
      </c>
      <c r="J512">
        <v>1.172028501</v>
      </c>
      <c r="K512">
        <v>2148</v>
      </c>
      <c r="L512">
        <v>951</v>
      </c>
      <c r="M512" s="2">
        <v>4</v>
      </c>
      <c r="N512">
        <v>1.648136281</v>
      </c>
      <c r="O512">
        <v>0.86880095199999996</v>
      </c>
      <c r="P512" t="b">
        <v>0</v>
      </c>
      <c r="Q512">
        <v>0.32031888800000002</v>
      </c>
      <c r="R512" s="2">
        <v>1</v>
      </c>
      <c r="S512" s="2" t="str">
        <f t="shared" si="29"/>
        <v>May</v>
      </c>
      <c r="T512">
        <f t="shared" si="30"/>
        <v>2026</v>
      </c>
      <c r="U512" s="2" t="str">
        <f t="shared" si="31"/>
        <v>Q2</v>
      </c>
      <c r="V512" t="str">
        <f t="shared" si="32"/>
        <v>Completed</v>
      </c>
    </row>
    <row r="513" spans="1:22" x14ac:dyDescent="0.3">
      <c r="A513" s="2">
        <v>512</v>
      </c>
      <c r="B513" s="1">
        <v>46169</v>
      </c>
      <c r="C513" s="2" t="s">
        <v>16</v>
      </c>
      <c r="D513">
        <v>2061</v>
      </c>
      <c r="E513">
        <v>1617</v>
      </c>
      <c r="F513">
        <v>1478</v>
      </c>
      <c r="G513">
        <v>4540</v>
      </c>
      <c r="H513">
        <v>2688</v>
      </c>
      <c r="I513">
        <v>0.427778516</v>
      </c>
      <c r="J513">
        <v>2.880637289</v>
      </c>
      <c r="K513">
        <v>639</v>
      </c>
      <c r="L513">
        <v>3917</v>
      </c>
      <c r="M513" s="2">
        <v>1</v>
      </c>
      <c r="N513">
        <v>0.85825084699999998</v>
      </c>
      <c r="O513">
        <v>0.82938136900000003</v>
      </c>
      <c r="P513" t="b">
        <v>0</v>
      </c>
      <c r="Q513">
        <v>0.39963205200000002</v>
      </c>
      <c r="R513" s="2">
        <v>1</v>
      </c>
      <c r="S513" s="2" t="str">
        <f t="shared" si="29"/>
        <v>May</v>
      </c>
      <c r="T513">
        <f t="shared" si="30"/>
        <v>2026</v>
      </c>
      <c r="U513" s="2" t="str">
        <f t="shared" si="31"/>
        <v>Q2</v>
      </c>
      <c r="V513" t="str">
        <f t="shared" si="32"/>
        <v>Completed</v>
      </c>
    </row>
    <row r="514" spans="1:22" x14ac:dyDescent="0.3">
      <c r="A514" s="2">
        <v>513</v>
      </c>
      <c r="B514" s="1">
        <v>46170</v>
      </c>
      <c r="C514" s="2" t="s">
        <v>5</v>
      </c>
      <c r="D514">
        <v>226</v>
      </c>
      <c r="E514">
        <v>2076</v>
      </c>
      <c r="F514">
        <v>722</v>
      </c>
      <c r="G514">
        <v>3369</v>
      </c>
      <c r="H514">
        <v>3953</v>
      </c>
      <c r="I514">
        <v>0.68568952299999997</v>
      </c>
      <c r="J514">
        <v>2.011118057</v>
      </c>
      <c r="K514">
        <v>4381</v>
      </c>
      <c r="L514">
        <v>2711</v>
      </c>
      <c r="M514" s="2">
        <v>5</v>
      </c>
      <c r="N514">
        <v>1.508628885</v>
      </c>
      <c r="O514">
        <v>0.82129766000000004</v>
      </c>
      <c r="P514" t="b">
        <v>0</v>
      </c>
      <c r="Q514">
        <v>2.4529845000000002E-2</v>
      </c>
      <c r="R514" s="2">
        <v>1</v>
      </c>
      <c r="S514" s="2" t="str">
        <f t="shared" ref="S514:S577" si="33">TEXT(B514,"MMM")</f>
        <v>May</v>
      </c>
      <c r="T514">
        <f t="shared" ref="T514:T577" si="34">YEAR(B514)</f>
        <v>2026</v>
      </c>
      <c r="U514" s="2" t="str">
        <f t="shared" si="31"/>
        <v>Q2</v>
      </c>
      <c r="V514" t="str">
        <f t="shared" si="32"/>
        <v>Completed</v>
      </c>
    </row>
    <row r="515" spans="1:22" x14ac:dyDescent="0.3">
      <c r="A515" s="2">
        <v>514</v>
      </c>
      <c r="B515" s="1">
        <v>46171</v>
      </c>
      <c r="C515" s="2" t="s">
        <v>18</v>
      </c>
      <c r="D515">
        <v>3045</v>
      </c>
      <c r="E515">
        <v>3725</v>
      </c>
      <c r="F515">
        <v>1634</v>
      </c>
      <c r="G515">
        <v>505</v>
      </c>
      <c r="H515">
        <v>1173</v>
      </c>
      <c r="I515">
        <v>0.25031018199999999</v>
      </c>
      <c r="J515">
        <v>1.84986063</v>
      </c>
      <c r="K515">
        <v>4780</v>
      </c>
      <c r="L515">
        <v>992</v>
      </c>
      <c r="M515" s="2">
        <v>7</v>
      </c>
      <c r="N515">
        <v>1.4617996529999999</v>
      </c>
      <c r="O515">
        <v>0.98541910700000002</v>
      </c>
      <c r="P515" t="b">
        <v>0</v>
      </c>
      <c r="Q515">
        <v>0.60077677799999996</v>
      </c>
      <c r="R515" s="2">
        <v>1</v>
      </c>
      <c r="S515" s="2" t="str">
        <f t="shared" si="33"/>
        <v>May</v>
      </c>
      <c r="T515">
        <f t="shared" si="34"/>
        <v>2026</v>
      </c>
      <c r="U515" s="2" t="str">
        <f t="shared" ref="U515:U578" si="35">"Q"&amp;ROUNDUP(MONTH(B515)/3,0)</f>
        <v>Q2</v>
      </c>
      <c r="V515" t="str">
        <f t="shared" si="32"/>
        <v>Completed</v>
      </c>
    </row>
    <row r="516" spans="1:22" x14ac:dyDescent="0.3">
      <c r="A516" s="2">
        <v>515</v>
      </c>
      <c r="B516" s="1">
        <v>46172</v>
      </c>
      <c r="C516" s="2" t="s">
        <v>16</v>
      </c>
      <c r="D516">
        <v>1563</v>
      </c>
      <c r="E516">
        <v>4345</v>
      </c>
      <c r="F516">
        <v>1221</v>
      </c>
      <c r="G516">
        <v>1277</v>
      </c>
      <c r="H516">
        <v>2179</v>
      </c>
      <c r="I516">
        <v>0.29568591599999999</v>
      </c>
      <c r="J516">
        <v>2.421870959</v>
      </c>
      <c r="K516">
        <v>686</v>
      </c>
      <c r="L516">
        <v>2080</v>
      </c>
      <c r="M516" s="2">
        <v>7</v>
      </c>
      <c r="N516">
        <v>1.806245568</v>
      </c>
      <c r="O516">
        <v>0.93497883800000003</v>
      </c>
      <c r="P516" t="b">
        <v>0</v>
      </c>
      <c r="Q516">
        <v>0.29783319699999999</v>
      </c>
      <c r="R516" s="2">
        <v>1</v>
      </c>
      <c r="S516" s="2" t="str">
        <f t="shared" si="33"/>
        <v>May</v>
      </c>
      <c r="T516">
        <f t="shared" si="34"/>
        <v>2026</v>
      </c>
      <c r="U516" s="2" t="str">
        <f t="shared" si="35"/>
        <v>Q2</v>
      </c>
      <c r="V516" t="str">
        <f t="shared" ref="V516:V579" si="36">IF(R515=1,"Completed","Failed")</f>
        <v>Completed</v>
      </c>
    </row>
    <row r="517" spans="1:22" x14ac:dyDescent="0.3">
      <c r="A517" s="2">
        <v>516</v>
      </c>
      <c r="B517" s="1">
        <v>46173</v>
      </c>
      <c r="C517" s="2" t="s">
        <v>18</v>
      </c>
      <c r="D517">
        <v>3359</v>
      </c>
      <c r="E517">
        <v>2575</v>
      </c>
      <c r="F517">
        <v>1234</v>
      </c>
      <c r="G517">
        <v>4215</v>
      </c>
      <c r="H517">
        <v>2446</v>
      </c>
      <c r="I517">
        <v>0.50895427500000001</v>
      </c>
      <c r="J517">
        <v>1.742449283</v>
      </c>
      <c r="K517">
        <v>3357</v>
      </c>
      <c r="L517">
        <v>3535</v>
      </c>
      <c r="M517" s="2">
        <v>7</v>
      </c>
      <c r="N517">
        <v>1.828510946</v>
      </c>
      <c r="O517">
        <v>0.89089341600000005</v>
      </c>
      <c r="P517" t="b">
        <v>0</v>
      </c>
      <c r="Q517">
        <v>0.66496320499999995</v>
      </c>
      <c r="R517" s="2">
        <v>1</v>
      </c>
      <c r="S517" s="2" t="str">
        <f t="shared" si="33"/>
        <v>May</v>
      </c>
      <c r="T517">
        <f t="shared" si="34"/>
        <v>2026</v>
      </c>
      <c r="U517" s="2" t="str">
        <f t="shared" si="35"/>
        <v>Q2</v>
      </c>
      <c r="V517" t="str">
        <f t="shared" si="36"/>
        <v>Completed</v>
      </c>
    </row>
    <row r="518" spans="1:22" x14ac:dyDescent="0.3">
      <c r="A518" s="2">
        <v>517</v>
      </c>
      <c r="B518" s="1">
        <v>46174</v>
      </c>
      <c r="C518" s="2" t="s">
        <v>16</v>
      </c>
      <c r="D518">
        <v>953</v>
      </c>
      <c r="E518">
        <v>2724</v>
      </c>
      <c r="F518">
        <v>2885</v>
      </c>
      <c r="G518">
        <v>3224</v>
      </c>
      <c r="H518">
        <v>3780</v>
      </c>
      <c r="I518">
        <v>0.73410628200000005</v>
      </c>
      <c r="J518">
        <v>0.68373743600000003</v>
      </c>
      <c r="K518">
        <v>282</v>
      </c>
      <c r="L518">
        <v>3887</v>
      </c>
      <c r="M518" s="2">
        <v>1</v>
      </c>
      <c r="N518">
        <v>0.72013361300000001</v>
      </c>
      <c r="O518">
        <v>0.83295753100000003</v>
      </c>
      <c r="P518" t="b">
        <v>0</v>
      </c>
      <c r="Q518">
        <v>0.17313982</v>
      </c>
      <c r="R518" s="2">
        <v>1</v>
      </c>
      <c r="S518" s="2" t="str">
        <f t="shared" si="33"/>
        <v>Jun</v>
      </c>
      <c r="T518">
        <f t="shared" si="34"/>
        <v>2026</v>
      </c>
      <c r="U518" s="2" t="str">
        <f t="shared" si="35"/>
        <v>Q2</v>
      </c>
      <c r="V518" t="str">
        <f t="shared" si="36"/>
        <v>Completed</v>
      </c>
    </row>
    <row r="519" spans="1:22" x14ac:dyDescent="0.3">
      <c r="A519" s="2">
        <v>518</v>
      </c>
      <c r="B519" s="1">
        <v>46175</v>
      </c>
      <c r="C519" s="2" t="s">
        <v>17</v>
      </c>
      <c r="D519">
        <v>3167</v>
      </c>
      <c r="E519">
        <v>3820</v>
      </c>
      <c r="F519">
        <v>2264</v>
      </c>
      <c r="G519">
        <v>750</v>
      </c>
      <c r="H519">
        <v>3498</v>
      </c>
      <c r="I519">
        <v>0.65224098699999999</v>
      </c>
      <c r="J519">
        <v>0.93477438899999998</v>
      </c>
      <c r="K519">
        <v>958</v>
      </c>
      <c r="L519">
        <v>3809</v>
      </c>
      <c r="M519" s="2">
        <v>9</v>
      </c>
      <c r="N519">
        <v>1.979748997</v>
      </c>
      <c r="O519">
        <v>0.94694756499999999</v>
      </c>
      <c r="P519" t="b">
        <v>0</v>
      </c>
      <c r="Q519">
        <v>0.62571545399999995</v>
      </c>
      <c r="R519" s="2">
        <v>1</v>
      </c>
      <c r="S519" s="2" t="str">
        <f t="shared" si="33"/>
        <v>Jun</v>
      </c>
      <c r="T519">
        <f t="shared" si="34"/>
        <v>2026</v>
      </c>
      <c r="U519" s="2" t="str">
        <f t="shared" si="35"/>
        <v>Q2</v>
      </c>
      <c r="V519" t="str">
        <f t="shared" si="36"/>
        <v>Completed</v>
      </c>
    </row>
    <row r="520" spans="1:22" x14ac:dyDescent="0.3">
      <c r="A520" s="2">
        <v>519</v>
      </c>
      <c r="B520" s="1">
        <v>46176</v>
      </c>
      <c r="C520" s="2" t="s">
        <v>17</v>
      </c>
      <c r="D520">
        <v>2328</v>
      </c>
      <c r="E520">
        <v>4353</v>
      </c>
      <c r="F520">
        <v>649</v>
      </c>
      <c r="G520">
        <v>1239</v>
      </c>
      <c r="H520">
        <v>1386</v>
      </c>
      <c r="I520">
        <v>0.295457684</v>
      </c>
      <c r="J520">
        <v>2.8955644880000002</v>
      </c>
      <c r="K520">
        <v>3067</v>
      </c>
      <c r="L520">
        <v>2384</v>
      </c>
      <c r="M520" s="2">
        <v>7</v>
      </c>
      <c r="N520">
        <v>0.722321977</v>
      </c>
      <c r="O520">
        <v>0.83151889599999995</v>
      </c>
      <c r="P520" t="b">
        <v>0</v>
      </c>
      <c r="Q520">
        <v>0.45421095700000003</v>
      </c>
      <c r="R520" s="2">
        <v>1</v>
      </c>
      <c r="S520" s="2" t="str">
        <f t="shared" si="33"/>
        <v>Jun</v>
      </c>
      <c r="T520">
        <f t="shared" si="34"/>
        <v>2026</v>
      </c>
      <c r="U520" s="2" t="str">
        <f t="shared" si="35"/>
        <v>Q2</v>
      </c>
      <c r="V520" t="str">
        <f t="shared" si="36"/>
        <v>Completed</v>
      </c>
    </row>
    <row r="521" spans="1:22" x14ac:dyDescent="0.3">
      <c r="A521" s="2">
        <v>520</v>
      </c>
      <c r="B521" s="1">
        <v>46177</v>
      </c>
      <c r="C521" s="2" t="s">
        <v>18</v>
      </c>
      <c r="D521">
        <v>3500</v>
      </c>
      <c r="E521">
        <v>1412</v>
      </c>
      <c r="F521">
        <v>301</v>
      </c>
      <c r="G521">
        <v>4242</v>
      </c>
      <c r="H521">
        <v>463</v>
      </c>
      <c r="I521">
        <v>0.2258529</v>
      </c>
      <c r="J521">
        <v>1.060223685</v>
      </c>
      <c r="K521">
        <v>4489</v>
      </c>
      <c r="L521">
        <v>457</v>
      </c>
      <c r="M521" s="2">
        <v>7</v>
      </c>
      <c r="N521">
        <v>1.5440523239999999</v>
      </c>
      <c r="O521">
        <v>0.89860373999999998</v>
      </c>
      <c r="P521" t="b">
        <v>1</v>
      </c>
      <c r="Q521">
        <v>0.69378577299999999</v>
      </c>
      <c r="R521" s="2">
        <v>0</v>
      </c>
      <c r="S521" s="2" t="str">
        <f t="shared" si="33"/>
        <v>Jun</v>
      </c>
      <c r="T521">
        <f t="shared" si="34"/>
        <v>2026</v>
      </c>
      <c r="U521" s="2" t="str">
        <f t="shared" si="35"/>
        <v>Q2</v>
      </c>
      <c r="V521" t="str">
        <f t="shared" si="36"/>
        <v>Completed</v>
      </c>
    </row>
    <row r="522" spans="1:22" x14ac:dyDescent="0.3">
      <c r="A522" s="2">
        <v>521</v>
      </c>
      <c r="B522" s="1">
        <v>46178</v>
      </c>
      <c r="C522" s="2" t="s">
        <v>5</v>
      </c>
      <c r="D522">
        <v>4600</v>
      </c>
      <c r="E522">
        <v>4467</v>
      </c>
      <c r="F522">
        <v>3369</v>
      </c>
      <c r="G522">
        <v>3288</v>
      </c>
      <c r="H522">
        <v>870</v>
      </c>
      <c r="I522">
        <v>0.64198876500000002</v>
      </c>
      <c r="J522">
        <v>2.9974337040000001</v>
      </c>
      <c r="K522">
        <v>1768</v>
      </c>
      <c r="L522">
        <v>2709</v>
      </c>
      <c r="M522" s="2">
        <v>1</v>
      </c>
      <c r="N522">
        <v>1.9060301310000001</v>
      </c>
      <c r="O522">
        <v>0.92837521199999995</v>
      </c>
      <c r="P522" t="b">
        <v>1</v>
      </c>
      <c r="Q522">
        <v>0.91864268199999999</v>
      </c>
      <c r="R522" s="2">
        <v>1</v>
      </c>
      <c r="S522" s="2" t="str">
        <f t="shared" si="33"/>
        <v>Jun</v>
      </c>
      <c r="T522">
        <f t="shared" si="34"/>
        <v>2026</v>
      </c>
      <c r="U522" s="2" t="str">
        <f t="shared" si="35"/>
        <v>Q2</v>
      </c>
      <c r="V522" t="str">
        <f t="shared" si="36"/>
        <v>Failed</v>
      </c>
    </row>
    <row r="523" spans="1:22" x14ac:dyDescent="0.3">
      <c r="A523" s="2">
        <v>522</v>
      </c>
      <c r="B523" s="1">
        <v>46179</v>
      </c>
      <c r="C523" s="2" t="s">
        <v>16</v>
      </c>
      <c r="D523">
        <v>2773</v>
      </c>
      <c r="E523">
        <v>3813</v>
      </c>
      <c r="F523">
        <v>3705</v>
      </c>
      <c r="G523">
        <v>1942</v>
      </c>
      <c r="H523">
        <v>822</v>
      </c>
      <c r="I523">
        <v>0.21312045099999999</v>
      </c>
      <c r="J523">
        <v>2.455665228</v>
      </c>
      <c r="K523">
        <v>419</v>
      </c>
      <c r="L523">
        <v>3633</v>
      </c>
      <c r="M523" s="2">
        <v>1</v>
      </c>
      <c r="N523">
        <v>0.58211048099999996</v>
      </c>
      <c r="O523">
        <v>0.94593634999999998</v>
      </c>
      <c r="P523" t="b">
        <v>0</v>
      </c>
      <c r="Q523">
        <v>0.54517579699999996</v>
      </c>
      <c r="R523" s="2">
        <v>1</v>
      </c>
      <c r="S523" s="2" t="str">
        <f t="shared" si="33"/>
        <v>Jun</v>
      </c>
      <c r="T523">
        <f t="shared" si="34"/>
        <v>2026</v>
      </c>
      <c r="U523" s="2" t="str">
        <f t="shared" si="35"/>
        <v>Q2</v>
      </c>
      <c r="V523" t="str">
        <f t="shared" si="36"/>
        <v>Completed</v>
      </c>
    </row>
    <row r="524" spans="1:22" x14ac:dyDescent="0.3">
      <c r="A524" s="2">
        <v>523</v>
      </c>
      <c r="B524" s="1">
        <v>46180</v>
      </c>
      <c r="C524" s="2" t="s">
        <v>18</v>
      </c>
      <c r="D524">
        <v>3190</v>
      </c>
      <c r="E524">
        <v>3429</v>
      </c>
      <c r="F524">
        <v>3384</v>
      </c>
      <c r="G524">
        <v>4449</v>
      </c>
      <c r="H524">
        <v>1063</v>
      </c>
      <c r="I524">
        <v>0.66352076999999998</v>
      </c>
      <c r="J524">
        <v>1.3894259920000001</v>
      </c>
      <c r="K524">
        <v>3196</v>
      </c>
      <c r="L524">
        <v>2546</v>
      </c>
      <c r="M524" s="2">
        <v>7</v>
      </c>
      <c r="N524">
        <v>0.85426937800000002</v>
      </c>
      <c r="O524">
        <v>0.80468600199999996</v>
      </c>
      <c r="P524" t="b">
        <v>0</v>
      </c>
      <c r="Q524">
        <v>0.63041700700000003</v>
      </c>
      <c r="R524" s="2">
        <v>1</v>
      </c>
      <c r="S524" s="2" t="str">
        <f t="shared" si="33"/>
        <v>Jun</v>
      </c>
      <c r="T524">
        <f t="shared" si="34"/>
        <v>2026</v>
      </c>
      <c r="U524" s="2" t="str">
        <f t="shared" si="35"/>
        <v>Q2</v>
      </c>
      <c r="V524" t="str">
        <f t="shared" si="36"/>
        <v>Completed</v>
      </c>
    </row>
    <row r="525" spans="1:22" x14ac:dyDescent="0.3">
      <c r="A525" s="2">
        <v>524</v>
      </c>
      <c r="B525" s="1">
        <v>46181</v>
      </c>
      <c r="C525" s="2" t="s">
        <v>18</v>
      </c>
      <c r="D525">
        <v>2655</v>
      </c>
      <c r="E525">
        <v>2661</v>
      </c>
      <c r="F525">
        <v>2789</v>
      </c>
      <c r="G525">
        <v>4502</v>
      </c>
      <c r="H525">
        <v>3846</v>
      </c>
      <c r="I525">
        <v>0.65488358700000004</v>
      </c>
      <c r="J525">
        <v>0.97831117599999995</v>
      </c>
      <c r="K525">
        <v>3930</v>
      </c>
      <c r="L525">
        <v>1545</v>
      </c>
      <c r="M525" s="2">
        <v>5</v>
      </c>
      <c r="N525">
        <v>1.589494003</v>
      </c>
      <c r="O525">
        <v>0.914985037</v>
      </c>
      <c r="P525" t="b">
        <v>0</v>
      </c>
      <c r="Q525">
        <v>0.52105478299999997</v>
      </c>
      <c r="R525" s="2">
        <v>1</v>
      </c>
      <c r="S525" s="2" t="str">
        <f t="shared" si="33"/>
        <v>Jun</v>
      </c>
      <c r="T525">
        <f t="shared" si="34"/>
        <v>2026</v>
      </c>
      <c r="U525" s="2" t="str">
        <f t="shared" si="35"/>
        <v>Q2</v>
      </c>
      <c r="V525" t="str">
        <f t="shared" si="36"/>
        <v>Completed</v>
      </c>
    </row>
    <row r="526" spans="1:22" x14ac:dyDescent="0.3">
      <c r="A526" s="2">
        <v>525</v>
      </c>
      <c r="B526" s="1">
        <v>46182</v>
      </c>
      <c r="C526" s="2" t="s">
        <v>16</v>
      </c>
      <c r="D526">
        <v>3417</v>
      </c>
      <c r="E526">
        <v>818</v>
      </c>
      <c r="F526">
        <v>1190</v>
      </c>
      <c r="G526">
        <v>2243</v>
      </c>
      <c r="H526">
        <v>3369</v>
      </c>
      <c r="I526">
        <v>0.49208161700000003</v>
      </c>
      <c r="J526">
        <v>1.402553237</v>
      </c>
      <c r="K526">
        <v>2542</v>
      </c>
      <c r="L526">
        <v>1439</v>
      </c>
      <c r="M526" s="2">
        <v>2</v>
      </c>
      <c r="N526">
        <v>1.179431085</v>
      </c>
      <c r="O526">
        <v>0.82008691</v>
      </c>
      <c r="P526" t="b">
        <v>0</v>
      </c>
      <c r="Q526">
        <v>0.67681929699999999</v>
      </c>
      <c r="R526" s="2">
        <v>1</v>
      </c>
      <c r="S526" s="2" t="str">
        <f t="shared" si="33"/>
        <v>Jun</v>
      </c>
      <c r="T526">
        <f t="shared" si="34"/>
        <v>2026</v>
      </c>
      <c r="U526" s="2" t="str">
        <f t="shared" si="35"/>
        <v>Q2</v>
      </c>
      <c r="V526" t="str">
        <f t="shared" si="36"/>
        <v>Completed</v>
      </c>
    </row>
    <row r="527" spans="1:22" x14ac:dyDescent="0.3">
      <c r="A527" s="2">
        <v>526</v>
      </c>
      <c r="B527" s="1">
        <v>46183</v>
      </c>
      <c r="C527" s="2" t="s">
        <v>17</v>
      </c>
      <c r="D527">
        <v>3519</v>
      </c>
      <c r="E527">
        <v>1004</v>
      </c>
      <c r="F527">
        <v>2416</v>
      </c>
      <c r="G527">
        <v>2323</v>
      </c>
      <c r="H527">
        <v>1961</v>
      </c>
      <c r="I527">
        <v>0.40955036700000003</v>
      </c>
      <c r="J527">
        <v>1.272554242</v>
      </c>
      <c r="K527">
        <v>3675</v>
      </c>
      <c r="L527">
        <v>1927</v>
      </c>
      <c r="M527" s="2">
        <v>1</v>
      </c>
      <c r="N527">
        <v>1.486635076</v>
      </c>
      <c r="O527">
        <v>0.88561947399999996</v>
      </c>
      <c r="P527" t="b">
        <v>0</v>
      </c>
      <c r="Q527">
        <v>0.69766966500000005</v>
      </c>
      <c r="R527" s="2">
        <v>1</v>
      </c>
      <c r="S527" s="2" t="str">
        <f t="shared" si="33"/>
        <v>Jun</v>
      </c>
      <c r="T527">
        <f t="shared" si="34"/>
        <v>2026</v>
      </c>
      <c r="U527" s="2" t="str">
        <f t="shared" si="35"/>
        <v>Q2</v>
      </c>
      <c r="V527" t="str">
        <f t="shared" si="36"/>
        <v>Completed</v>
      </c>
    </row>
    <row r="528" spans="1:22" x14ac:dyDescent="0.3">
      <c r="A528" s="2">
        <v>527</v>
      </c>
      <c r="B528" s="1">
        <v>46184</v>
      </c>
      <c r="C528" s="2" t="s">
        <v>16</v>
      </c>
      <c r="D528">
        <v>3297</v>
      </c>
      <c r="E528">
        <v>3838</v>
      </c>
      <c r="F528">
        <v>2091</v>
      </c>
      <c r="G528">
        <v>1122</v>
      </c>
      <c r="H528">
        <v>2561</v>
      </c>
      <c r="I528">
        <v>0.510104377</v>
      </c>
      <c r="J528">
        <v>2.9989944460000002</v>
      </c>
      <c r="K528">
        <v>3036</v>
      </c>
      <c r="L528">
        <v>1634</v>
      </c>
      <c r="M528" s="2">
        <v>4</v>
      </c>
      <c r="N528">
        <v>1.11699653</v>
      </c>
      <c r="O528">
        <v>0.90013512100000004</v>
      </c>
      <c r="P528" t="b">
        <v>0</v>
      </c>
      <c r="Q528">
        <v>0.65228945199999999</v>
      </c>
      <c r="R528" s="2">
        <v>1</v>
      </c>
      <c r="S528" s="2" t="str">
        <f t="shared" si="33"/>
        <v>Jun</v>
      </c>
      <c r="T528">
        <f t="shared" si="34"/>
        <v>2026</v>
      </c>
      <c r="U528" s="2" t="str">
        <f t="shared" si="35"/>
        <v>Q2</v>
      </c>
      <c r="V528" t="str">
        <f t="shared" si="36"/>
        <v>Completed</v>
      </c>
    </row>
    <row r="529" spans="1:22" x14ac:dyDescent="0.3">
      <c r="A529" s="2">
        <v>528</v>
      </c>
      <c r="B529" s="1">
        <v>46185</v>
      </c>
      <c r="C529" s="2" t="s">
        <v>18</v>
      </c>
      <c r="D529">
        <v>4319</v>
      </c>
      <c r="E529">
        <v>648</v>
      </c>
      <c r="F529">
        <v>531</v>
      </c>
      <c r="G529">
        <v>3602</v>
      </c>
      <c r="H529">
        <v>3744</v>
      </c>
      <c r="I529">
        <v>0.58856040399999998</v>
      </c>
      <c r="J529">
        <v>1.8527593630000001</v>
      </c>
      <c r="K529">
        <v>1563</v>
      </c>
      <c r="L529">
        <v>1396</v>
      </c>
      <c r="M529" s="2">
        <v>4</v>
      </c>
      <c r="N529">
        <v>0.84985484200000005</v>
      </c>
      <c r="O529">
        <v>0.80530612899999998</v>
      </c>
      <c r="P529" t="b">
        <v>0</v>
      </c>
      <c r="Q529">
        <v>0.86120196199999999</v>
      </c>
      <c r="R529" s="2">
        <v>1</v>
      </c>
      <c r="S529" s="2" t="str">
        <f t="shared" si="33"/>
        <v>Jun</v>
      </c>
      <c r="T529">
        <f t="shared" si="34"/>
        <v>2026</v>
      </c>
      <c r="U529" s="2" t="str">
        <f t="shared" si="35"/>
        <v>Q2</v>
      </c>
      <c r="V529" t="str">
        <f t="shared" si="36"/>
        <v>Completed</v>
      </c>
    </row>
    <row r="530" spans="1:22" x14ac:dyDescent="0.3">
      <c r="A530" s="2">
        <v>529</v>
      </c>
      <c r="B530" s="1">
        <v>46186</v>
      </c>
      <c r="C530" s="2" t="s">
        <v>18</v>
      </c>
      <c r="D530">
        <v>2473</v>
      </c>
      <c r="E530">
        <v>717</v>
      </c>
      <c r="F530">
        <v>2325</v>
      </c>
      <c r="G530">
        <v>2574</v>
      </c>
      <c r="H530">
        <v>982</v>
      </c>
      <c r="I530">
        <v>0.76186934500000003</v>
      </c>
      <c r="J530">
        <v>2.6556389139999999</v>
      </c>
      <c r="K530">
        <v>4470</v>
      </c>
      <c r="L530">
        <v>513</v>
      </c>
      <c r="M530" s="2">
        <v>2</v>
      </c>
      <c r="N530">
        <v>1.1075624879999999</v>
      </c>
      <c r="O530">
        <v>0.93404702399999995</v>
      </c>
      <c r="P530" t="b">
        <v>0</v>
      </c>
      <c r="Q530">
        <v>0.48385118599999999</v>
      </c>
      <c r="R530" s="2">
        <v>1</v>
      </c>
      <c r="S530" s="2" t="str">
        <f t="shared" si="33"/>
        <v>Jun</v>
      </c>
      <c r="T530">
        <f t="shared" si="34"/>
        <v>2026</v>
      </c>
      <c r="U530" s="2" t="str">
        <f t="shared" si="35"/>
        <v>Q2</v>
      </c>
      <c r="V530" t="str">
        <f t="shared" si="36"/>
        <v>Completed</v>
      </c>
    </row>
    <row r="531" spans="1:22" x14ac:dyDescent="0.3">
      <c r="A531" s="2">
        <v>530</v>
      </c>
      <c r="B531" s="1">
        <v>46187</v>
      </c>
      <c r="C531" s="2" t="s">
        <v>18</v>
      </c>
      <c r="D531">
        <v>4881</v>
      </c>
      <c r="E531">
        <v>4494</v>
      </c>
      <c r="F531">
        <v>3203</v>
      </c>
      <c r="G531">
        <v>790</v>
      </c>
      <c r="H531">
        <v>3603</v>
      </c>
      <c r="I531">
        <v>0.56953638600000001</v>
      </c>
      <c r="J531">
        <v>2.1445330020000002</v>
      </c>
      <c r="K531">
        <v>863</v>
      </c>
      <c r="L531">
        <v>1162</v>
      </c>
      <c r="M531" s="2">
        <v>4</v>
      </c>
      <c r="N531">
        <v>0.91730717500000003</v>
      </c>
      <c r="O531">
        <v>0.91788104800000003</v>
      </c>
      <c r="P531" t="b">
        <v>0</v>
      </c>
      <c r="Q531">
        <v>0.97608340100000002</v>
      </c>
      <c r="R531" s="2">
        <v>1</v>
      </c>
      <c r="S531" s="2" t="str">
        <f t="shared" si="33"/>
        <v>Jun</v>
      </c>
      <c r="T531">
        <f t="shared" si="34"/>
        <v>2026</v>
      </c>
      <c r="U531" s="2" t="str">
        <f t="shared" si="35"/>
        <v>Q2</v>
      </c>
      <c r="V531" t="str">
        <f t="shared" si="36"/>
        <v>Completed</v>
      </c>
    </row>
    <row r="532" spans="1:22" x14ac:dyDescent="0.3">
      <c r="A532" s="2">
        <v>531</v>
      </c>
      <c r="B532" s="1">
        <v>46188</v>
      </c>
      <c r="C532" s="2" t="s">
        <v>18</v>
      </c>
      <c r="D532">
        <v>680</v>
      </c>
      <c r="E532">
        <v>3079</v>
      </c>
      <c r="F532">
        <v>2099</v>
      </c>
      <c r="G532">
        <v>4379</v>
      </c>
      <c r="H532">
        <v>2148</v>
      </c>
      <c r="I532">
        <v>0.60964455100000003</v>
      </c>
      <c r="J532">
        <v>2.4958363280000002</v>
      </c>
      <c r="K532">
        <v>4046</v>
      </c>
      <c r="L532">
        <v>2273</v>
      </c>
      <c r="M532" s="2">
        <v>8</v>
      </c>
      <c r="N532">
        <v>1.90683066</v>
      </c>
      <c r="O532">
        <v>0.94460768100000003</v>
      </c>
      <c r="P532" t="b">
        <v>0</v>
      </c>
      <c r="Q532">
        <v>0.11733442400000001</v>
      </c>
      <c r="R532" s="2">
        <v>1</v>
      </c>
      <c r="S532" s="2" t="str">
        <f t="shared" si="33"/>
        <v>Jun</v>
      </c>
      <c r="T532">
        <f t="shared" si="34"/>
        <v>2026</v>
      </c>
      <c r="U532" s="2" t="str">
        <f t="shared" si="35"/>
        <v>Q2</v>
      </c>
      <c r="V532" t="str">
        <f t="shared" si="36"/>
        <v>Completed</v>
      </c>
    </row>
    <row r="533" spans="1:22" x14ac:dyDescent="0.3">
      <c r="A533" s="2">
        <v>532</v>
      </c>
      <c r="B533" s="1">
        <v>46189</v>
      </c>
      <c r="C533" s="2" t="s">
        <v>16</v>
      </c>
      <c r="D533">
        <v>2504</v>
      </c>
      <c r="E533">
        <v>3879</v>
      </c>
      <c r="F533">
        <v>3064</v>
      </c>
      <c r="G533">
        <v>2749</v>
      </c>
      <c r="H533">
        <v>239</v>
      </c>
      <c r="I533">
        <v>0.64809576700000004</v>
      </c>
      <c r="J533">
        <v>0.51798008699999998</v>
      </c>
      <c r="K533">
        <v>3057</v>
      </c>
      <c r="L533">
        <v>2809</v>
      </c>
      <c r="M533" s="2">
        <v>9</v>
      </c>
      <c r="N533">
        <v>0.53655253400000003</v>
      </c>
      <c r="O533">
        <v>0.95587625799999998</v>
      </c>
      <c r="P533" t="b">
        <v>0</v>
      </c>
      <c r="Q533">
        <v>0.49018806199999998</v>
      </c>
      <c r="R533" s="2">
        <v>1</v>
      </c>
      <c r="S533" s="2" t="str">
        <f t="shared" si="33"/>
        <v>Jun</v>
      </c>
      <c r="T533">
        <f t="shared" si="34"/>
        <v>2026</v>
      </c>
      <c r="U533" s="2" t="str">
        <f t="shared" si="35"/>
        <v>Q2</v>
      </c>
      <c r="V533" t="str">
        <f t="shared" si="36"/>
        <v>Completed</v>
      </c>
    </row>
    <row r="534" spans="1:22" x14ac:dyDescent="0.3">
      <c r="A534" s="2">
        <v>533</v>
      </c>
      <c r="B534" s="1">
        <v>46190</v>
      </c>
      <c r="C534" s="2" t="s">
        <v>5</v>
      </c>
      <c r="D534">
        <v>1650</v>
      </c>
      <c r="E534">
        <v>3180</v>
      </c>
      <c r="F534">
        <v>2866</v>
      </c>
      <c r="G534">
        <v>2244</v>
      </c>
      <c r="H534">
        <v>3701</v>
      </c>
      <c r="I534">
        <v>0.51653107799999998</v>
      </c>
      <c r="J534">
        <v>1.089152946</v>
      </c>
      <c r="K534">
        <v>2156</v>
      </c>
      <c r="L534">
        <v>454</v>
      </c>
      <c r="M534" s="2">
        <v>4</v>
      </c>
      <c r="N534">
        <v>0.85497619899999999</v>
      </c>
      <c r="O534">
        <v>0.93808515400000003</v>
      </c>
      <c r="P534" t="b">
        <v>0</v>
      </c>
      <c r="Q534">
        <v>0.31561733400000003</v>
      </c>
      <c r="R534" s="2">
        <v>1</v>
      </c>
      <c r="S534" s="2" t="str">
        <f t="shared" si="33"/>
        <v>Jun</v>
      </c>
      <c r="T534">
        <f t="shared" si="34"/>
        <v>2026</v>
      </c>
      <c r="U534" s="2" t="str">
        <f t="shared" si="35"/>
        <v>Q2</v>
      </c>
      <c r="V534" t="str">
        <f t="shared" si="36"/>
        <v>Completed</v>
      </c>
    </row>
    <row r="535" spans="1:22" x14ac:dyDescent="0.3">
      <c r="A535" s="2">
        <v>534</v>
      </c>
      <c r="B535" s="1">
        <v>46191</v>
      </c>
      <c r="C535" s="2" t="s">
        <v>17</v>
      </c>
      <c r="D535">
        <v>2684</v>
      </c>
      <c r="E535">
        <v>799</v>
      </c>
      <c r="F535">
        <v>3759</v>
      </c>
      <c r="G535">
        <v>1410</v>
      </c>
      <c r="H535">
        <v>1293</v>
      </c>
      <c r="I535">
        <v>0.50013060200000004</v>
      </c>
      <c r="J535">
        <v>0.68839883199999996</v>
      </c>
      <c r="K535">
        <v>1147</v>
      </c>
      <c r="L535">
        <v>2475</v>
      </c>
      <c r="M535" s="2">
        <v>1</v>
      </c>
      <c r="N535">
        <v>0.97909535999999997</v>
      </c>
      <c r="O535">
        <v>0.88885479899999997</v>
      </c>
      <c r="P535" t="b">
        <v>1</v>
      </c>
      <c r="Q535">
        <v>0.52698282900000004</v>
      </c>
      <c r="R535" s="2">
        <v>1</v>
      </c>
      <c r="S535" s="2" t="str">
        <f t="shared" si="33"/>
        <v>Jun</v>
      </c>
      <c r="T535">
        <f t="shared" si="34"/>
        <v>2026</v>
      </c>
      <c r="U535" s="2" t="str">
        <f t="shared" si="35"/>
        <v>Q2</v>
      </c>
      <c r="V535" t="str">
        <f t="shared" si="36"/>
        <v>Completed</v>
      </c>
    </row>
    <row r="536" spans="1:22" x14ac:dyDescent="0.3">
      <c r="A536" s="2">
        <v>535</v>
      </c>
      <c r="B536" s="1">
        <v>46192</v>
      </c>
      <c r="C536" s="2" t="s">
        <v>5</v>
      </c>
      <c r="D536">
        <v>106</v>
      </c>
      <c r="E536">
        <v>1185</v>
      </c>
      <c r="F536">
        <v>3557</v>
      </c>
      <c r="G536">
        <v>4337</v>
      </c>
      <c r="H536">
        <v>147</v>
      </c>
      <c r="I536">
        <v>0.633422704</v>
      </c>
      <c r="J536">
        <v>2.6175823600000001</v>
      </c>
      <c r="K536">
        <v>424</v>
      </c>
      <c r="L536">
        <v>2654</v>
      </c>
      <c r="M536" s="2">
        <v>2</v>
      </c>
      <c r="N536">
        <v>1.569066793</v>
      </c>
      <c r="O536">
        <v>0.82692312199999995</v>
      </c>
      <c r="P536" t="b">
        <v>0</v>
      </c>
      <c r="Q536">
        <v>0</v>
      </c>
      <c r="R536" s="2">
        <v>1</v>
      </c>
      <c r="S536" s="2" t="str">
        <f t="shared" si="33"/>
        <v>Jun</v>
      </c>
      <c r="T536">
        <f t="shared" si="34"/>
        <v>2026</v>
      </c>
      <c r="U536" s="2" t="str">
        <f t="shared" si="35"/>
        <v>Q2</v>
      </c>
      <c r="V536" t="str">
        <f t="shared" si="36"/>
        <v>Completed</v>
      </c>
    </row>
    <row r="537" spans="1:22" x14ac:dyDescent="0.3">
      <c r="A537" s="2">
        <v>536</v>
      </c>
      <c r="B537" s="1">
        <v>46193</v>
      </c>
      <c r="C537" s="2" t="s">
        <v>16</v>
      </c>
      <c r="D537">
        <v>326</v>
      </c>
      <c r="E537">
        <v>2682</v>
      </c>
      <c r="F537">
        <v>1087</v>
      </c>
      <c r="G537">
        <v>3573</v>
      </c>
      <c r="H537">
        <v>2263</v>
      </c>
      <c r="I537">
        <v>0.69512586499999995</v>
      </c>
      <c r="J537">
        <v>0.88775562900000005</v>
      </c>
      <c r="K537">
        <v>3811</v>
      </c>
      <c r="L537">
        <v>410</v>
      </c>
      <c r="M537" s="2">
        <v>3</v>
      </c>
      <c r="N537">
        <v>1.2402973770000001</v>
      </c>
      <c r="O537">
        <v>0.944110754</v>
      </c>
      <c r="P537" t="b">
        <v>0</v>
      </c>
      <c r="Q537">
        <v>4.4971381999999997E-2</v>
      </c>
      <c r="R537" s="2">
        <v>1</v>
      </c>
      <c r="S537" s="2" t="str">
        <f t="shared" si="33"/>
        <v>Jun</v>
      </c>
      <c r="T537">
        <f t="shared" si="34"/>
        <v>2026</v>
      </c>
      <c r="U537" s="2" t="str">
        <f t="shared" si="35"/>
        <v>Q2</v>
      </c>
      <c r="V537" t="str">
        <f t="shared" si="36"/>
        <v>Completed</v>
      </c>
    </row>
    <row r="538" spans="1:22" x14ac:dyDescent="0.3">
      <c r="A538" s="2">
        <v>537</v>
      </c>
      <c r="B538" s="1">
        <v>46194</v>
      </c>
      <c r="C538" s="2" t="s">
        <v>5</v>
      </c>
      <c r="D538">
        <v>787</v>
      </c>
      <c r="E538">
        <v>3174</v>
      </c>
      <c r="F538">
        <v>351</v>
      </c>
      <c r="G538">
        <v>4813</v>
      </c>
      <c r="H538">
        <v>3698</v>
      </c>
      <c r="I538">
        <v>0.22934211099999999</v>
      </c>
      <c r="J538">
        <v>1.1378700310000001</v>
      </c>
      <c r="K538">
        <v>3291</v>
      </c>
      <c r="L538">
        <v>1361</v>
      </c>
      <c r="M538" s="2">
        <v>8</v>
      </c>
      <c r="N538">
        <v>0.59986779400000001</v>
      </c>
      <c r="O538">
        <v>0.87192483899999995</v>
      </c>
      <c r="P538" t="b">
        <v>0</v>
      </c>
      <c r="Q538">
        <v>0.13920686800000001</v>
      </c>
      <c r="R538" s="2">
        <v>1</v>
      </c>
      <c r="S538" s="2" t="str">
        <f t="shared" si="33"/>
        <v>Jun</v>
      </c>
      <c r="T538">
        <f t="shared" si="34"/>
        <v>2026</v>
      </c>
      <c r="U538" s="2" t="str">
        <f t="shared" si="35"/>
        <v>Q2</v>
      </c>
      <c r="V538" t="str">
        <f t="shared" si="36"/>
        <v>Completed</v>
      </c>
    </row>
    <row r="539" spans="1:22" x14ac:dyDescent="0.3">
      <c r="A539" s="2">
        <v>538</v>
      </c>
      <c r="B539" s="1">
        <v>46195</v>
      </c>
      <c r="C539" s="2" t="s">
        <v>17</v>
      </c>
      <c r="D539">
        <v>1434</v>
      </c>
      <c r="E539">
        <v>3444</v>
      </c>
      <c r="F539">
        <v>3143</v>
      </c>
      <c r="G539">
        <v>1273</v>
      </c>
      <c r="H539">
        <v>3673</v>
      </c>
      <c r="I539">
        <v>0.32773646899999997</v>
      </c>
      <c r="J539">
        <v>0.95126523500000004</v>
      </c>
      <c r="K539">
        <v>580</v>
      </c>
      <c r="L539">
        <v>2159</v>
      </c>
      <c r="M539" s="2">
        <v>5</v>
      </c>
      <c r="N539">
        <v>1.5769935960000001</v>
      </c>
      <c r="O539">
        <v>0.90329849200000001</v>
      </c>
      <c r="P539" t="b">
        <v>0</v>
      </c>
      <c r="Q539">
        <v>0.27146361400000002</v>
      </c>
      <c r="R539" s="2">
        <v>1</v>
      </c>
      <c r="S539" s="2" t="str">
        <f t="shared" si="33"/>
        <v>Jun</v>
      </c>
      <c r="T539">
        <f t="shared" si="34"/>
        <v>2026</v>
      </c>
      <c r="U539" s="2" t="str">
        <f t="shared" si="35"/>
        <v>Q2</v>
      </c>
      <c r="V539" t="str">
        <f t="shared" si="36"/>
        <v>Completed</v>
      </c>
    </row>
    <row r="540" spans="1:22" x14ac:dyDescent="0.3">
      <c r="A540" s="2">
        <v>539</v>
      </c>
      <c r="B540" s="1">
        <v>46196</v>
      </c>
      <c r="C540" s="2" t="s">
        <v>16</v>
      </c>
      <c r="D540">
        <v>2337</v>
      </c>
      <c r="E540">
        <v>3878</v>
      </c>
      <c r="F540">
        <v>567</v>
      </c>
      <c r="G540">
        <v>4198</v>
      </c>
      <c r="H540">
        <v>3046</v>
      </c>
      <c r="I540">
        <v>0.30870017900000002</v>
      </c>
      <c r="J540">
        <v>2.473627118</v>
      </c>
      <c r="K540">
        <v>2035</v>
      </c>
      <c r="L540">
        <v>2952</v>
      </c>
      <c r="M540" s="2">
        <v>2</v>
      </c>
      <c r="N540">
        <v>0.93469855899999998</v>
      </c>
      <c r="O540">
        <v>0.884865346</v>
      </c>
      <c r="P540" t="b">
        <v>0</v>
      </c>
      <c r="Q540">
        <v>0.45605069500000001</v>
      </c>
      <c r="R540" s="2">
        <v>1</v>
      </c>
      <c r="S540" s="2" t="str">
        <f t="shared" si="33"/>
        <v>Jun</v>
      </c>
      <c r="T540">
        <f t="shared" si="34"/>
        <v>2026</v>
      </c>
      <c r="U540" s="2" t="str">
        <f t="shared" si="35"/>
        <v>Q2</v>
      </c>
      <c r="V540" t="str">
        <f t="shared" si="36"/>
        <v>Completed</v>
      </c>
    </row>
    <row r="541" spans="1:22" x14ac:dyDescent="0.3">
      <c r="A541" s="2">
        <v>540</v>
      </c>
      <c r="B541" s="1">
        <v>46197</v>
      </c>
      <c r="C541" s="2" t="s">
        <v>18</v>
      </c>
      <c r="D541">
        <v>3198</v>
      </c>
      <c r="E541">
        <v>979</v>
      </c>
      <c r="F541">
        <v>3544</v>
      </c>
      <c r="G541">
        <v>590</v>
      </c>
      <c r="H541">
        <v>1665</v>
      </c>
      <c r="I541">
        <v>0.44352460999999999</v>
      </c>
      <c r="J541">
        <v>2.316762207</v>
      </c>
      <c r="K541">
        <v>3032</v>
      </c>
      <c r="L541">
        <v>1166</v>
      </c>
      <c r="M541" s="2">
        <v>4</v>
      </c>
      <c r="N541">
        <v>1.7639361650000001</v>
      </c>
      <c r="O541">
        <v>0.82485724699999996</v>
      </c>
      <c r="P541" t="b">
        <v>0</v>
      </c>
      <c r="Q541">
        <v>0.63205233000000005</v>
      </c>
      <c r="R541" s="2">
        <v>1</v>
      </c>
      <c r="S541" s="2" t="str">
        <f t="shared" si="33"/>
        <v>Jun</v>
      </c>
      <c r="T541">
        <f t="shared" si="34"/>
        <v>2026</v>
      </c>
      <c r="U541" s="2" t="str">
        <f t="shared" si="35"/>
        <v>Q2</v>
      </c>
      <c r="V541" t="str">
        <f t="shared" si="36"/>
        <v>Completed</v>
      </c>
    </row>
    <row r="542" spans="1:22" x14ac:dyDescent="0.3">
      <c r="A542" s="2">
        <v>541</v>
      </c>
      <c r="B542" s="1">
        <v>46198</v>
      </c>
      <c r="C542" s="2" t="s">
        <v>5</v>
      </c>
      <c r="D542">
        <v>550</v>
      </c>
      <c r="E542">
        <v>1485</v>
      </c>
      <c r="F542">
        <v>1543</v>
      </c>
      <c r="G542">
        <v>3638</v>
      </c>
      <c r="H542">
        <v>1736</v>
      </c>
      <c r="I542">
        <v>0.41413063</v>
      </c>
      <c r="J542">
        <v>2.731483442</v>
      </c>
      <c r="K542">
        <v>2878</v>
      </c>
      <c r="L542">
        <v>2033</v>
      </c>
      <c r="M542" s="2">
        <v>7</v>
      </c>
      <c r="N542">
        <v>0.88926310600000003</v>
      </c>
      <c r="O542">
        <v>0.95953008799999995</v>
      </c>
      <c r="P542" t="b">
        <v>0</v>
      </c>
      <c r="Q542">
        <v>9.0760425000000006E-2</v>
      </c>
      <c r="R542" s="2">
        <v>1</v>
      </c>
      <c r="S542" s="2" t="str">
        <f t="shared" si="33"/>
        <v>Jun</v>
      </c>
      <c r="T542">
        <f t="shared" si="34"/>
        <v>2026</v>
      </c>
      <c r="U542" s="2" t="str">
        <f t="shared" si="35"/>
        <v>Q2</v>
      </c>
      <c r="V542" t="str">
        <f t="shared" si="36"/>
        <v>Completed</v>
      </c>
    </row>
    <row r="543" spans="1:22" x14ac:dyDescent="0.3">
      <c r="A543" s="2">
        <v>542</v>
      </c>
      <c r="B543" s="1">
        <v>46199</v>
      </c>
      <c r="C543" s="2" t="s">
        <v>17</v>
      </c>
      <c r="D543">
        <v>4227</v>
      </c>
      <c r="E543">
        <v>3734</v>
      </c>
      <c r="F543">
        <v>1940</v>
      </c>
      <c r="G543">
        <v>4508</v>
      </c>
      <c r="H543">
        <v>1862</v>
      </c>
      <c r="I543">
        <v>0.61898449700000002</v>
      </c>
      <c r="J543">
        <v>1.7483420780000001</v>
      </c>
      <c r="K543">
        <v>4999</v>
      </c>
      <c r="L543">
        <v>3112</v>
      </c>
      <c r="M543" s="2">
        <v>4</v>
      </c>
      <c r="N543">
        <v>0.81088949300000002</v>
      </c>
      <c r="O543">
        <v>0.98017100899999998</v>
      </c>
      <c r="P543" t="b">
        <v>1</v>
      </c>
      <c r="Q543">
        <v>0.84239574800000006</v>
      </c>
      <c r="R543" s="2">
        <v>1</v>
      </c>
      <c r="S543" s="2" t="str">
        <f t="shared" si="33"/>
        <v>Jun</v>
      </c>
      <c r="T543">
        <f t="shared" si="34"/>
        <v>2026</v>
      </c>
      <c r="U543" s="2" t="str">
        <f t="shared" si="35"/>
        <v>Q2</v>
      </c>
      <c r="V543" t="str">
        <f t="shared" si="36"/>
        <v>Completed</v>
      </c>
    </row>
    <row r="544" spans="1:22" x14ac:dyDescent="0.3">
      <c r="A544" s="2">
        <v>543</v>
      </c>
      <c r="B544" s="1">
        <v>46200</v>
      </c>
      <c r="C544" s="2" t="s">
        <v>17</v>
      </c>
      <c r="D544">
        <v>2060</v>
      </c>
      <c r="E544">
        <v>1086</v>
      </c>
      <c r="F544">
        <v>1846</v>
      </c>
      <c r="G544">
        <v>2333</v>
      </c>
      <c r="H544">
        <v>2084</v>
      </c>
      <c r="I544">
        <v>0.75587152199999996</v>
      </c>
      <c r="J544">
        <v>1.6523345330000001</v>
      </c>
      <c r="K544">
        <v>4975</v>
      </c>
      <c r="L544">
        <v>2487</v>
      </c>
      <c r="M544" s="2">
        <v>6</v>
      </c>
      <c r="N544">
        <v>0.50660731199999998</v>
      </c>
      <c r="O544">
        <v>0.93311623899999996</v>
      </c>
      <c r="P544" t="b">
        <v>0</v>
      </c>
      <c r="Q544">
        <v>0.399427637</v>
      </c>
      <c r="R544" s="2">
        <v>1</v>
      </c>
      <c r="S544" s="2" t="str">
        <f t="shared" si="33"/>
        <v>Jun</v>
      </c>
      <c r="T544">
        <f t="shared" si="34"/>
        <v>2026</v>
      </c>
      <c r="U544" s="2" t="str">
        <f t="shared" si="35"/>
        <v>Q2</v>
      </c>
      <c r="V544" t="str">
        <f t="shared" si="36"/>
        <v>Completed</v>
      </c>
    </row>
    <row r="545" spans="1:22" x14ac:dyDescent="0.3">
      <c r="A545" s="2">
        <v>544</v>
      </c>
      <c r="B545" s="1">
        <v>46201</v>
      </c>
      <c r="C545" s="2" t="s">
        <v>18</v>
      </c>
      <c r="D545">
        <v>3393</v>
      </c>
      <c r="E545">
        <v>852</v>
      </c>
      <c r="F545">
        <v>3124</v>
      </c>
      <c r="G545">
        <v>3555</v>
      </c>
      <c r="H545">
        <v>1091</v>
      </c>
      <c r="I545">
        <v>0.30139913600000001</v>
      </c>
      <c r="J545">
        <v>2.759632613</v>
      </c>
      <c r="K545">
        <v>1089</v>
      </c>
      <c r="L545">
        <v>2704</v>
      </c>
      <c r="M545" s="2">
        <v>1</v>
      </c>
      <c r="N545">
        <v>0.58570413200000004</v>
      </c>
      <c r="O545">
        <v>0.85007169400000004</v>
      </c>
      <c r="P545" t="b">
        <v>0</v>
      </c>
      <c r="Q545">
        <v>0.67191332800000003</v>
      </c>
      <c r="R545" s="2">
        <v>1</v>
      </c>
      <c r="S545" s="2" t="str">
        <f t="shared" si="33"/>
        <v>Jun</v>
      </c>
      <c r="T545">
        <f t="shared" si="34"/>
        <v>2026</v>
      </c>
      <c r="U545" s="2" t="str">
        <f t="shared" si="35"/>
        <v>Q2</v>
      </c>
      <c r="V545" t="str">
        <f t="shared" si="36"/>
        <v>Completed</v>
      </c>
    </row>
    <row r="546" spans="1:22" x14ac:dyDescent="0.3">
      <c r="A546" s="2">
        <v>545</v>
      </c>
      <c r="B546" s="1">
        <v>46202</v>
      </c>
      <c r="C546" s="2" t="s">
        <v>17</v>
      </c>
      <c r="D546">
        <v>1895</v>
      </c>
      <c r="E546">
        <v>822</v>
      </c>
      <c r="F546">
        <v>637</v>
      </c>
      <c r="G546">
        <v>4328</v>
      </c>
      <c r="H546">
        <v>2425</v>
      </c>
      <c r="I546">
        <v>0.50875329599999997</v>
      </c>
      <c r="J546">
        <v>2.79794125</v>
      </c>
      <c r="K546">
        <v>1861</v>
      </c>
      <c r="L546">
        <v>846</v>
      </c>
      <c r="M546" s="2">
        <v>1</v>
      </c>
      <c r="N546">
        <v>1.1977075070000001</v>
      </c>
      <c r="O546">
        <v>0.91136834300000003</v>
      </c>
      <c r="P546" t="b">
        <v>0</v>
      </c>
      <c r="Q546">
        <v>0.36569910100000003</v>
      </c>
      <c r="R546" s="2">
        <v>1</v>
      </c>
      <c r="S546" s="2" t="str">
        <f t="shared" si="33"/>
        <v>Jun</v>
      </c>
      <c r="T546">
        <f t="shared" si="34"/>
        <v>2026</v>
      </c>
      <c r="U546" s="2" t="str">
        <f t="shared" si="35"/>
        <v>Q2</v>
      </c>
      <c r="V546" t="str">
        <f t="shared" si="36"/>
        <v>Completed</v>
      </c>
    </row>
    <row r="547" spans="1:22" x14ac:dyDescent="0.3">
      <c r="A547" s="2">
        <v>546</v>
      </c>
      <c r="B547" s="1">
        <v>46203</v>
      </c>
      <c r="C547" s="2" t="s">
        <v>18</v>
      </c>
      <c r="D547">
        <v>4425</v>
      </c>
      <c r="E547">
        <v>3379</v>
      </c>
      <c r="F547">
        <v>2154</v>
      </c>
      <c r="G547">
        <v>4895</v>
      </c>
      <c r="H547">
        <v>3662</v>
      </c>
      <c r="I547">
        <v>0.25850002900000002</v>
      </c>
      <c r="J547">
        <v>1.089889227</v>
      </c>
      <c r="K547">
        <v>1411</v>
      </c>
      <c r="L547">
        <v>289</v>
      </c>
      <c r="M547" s="2">
        <v>6</v>
      </c>
      <c r="N547">
        <v>1.1826151730000001</v>
      </c>
      <c r="O547">
        <v>0.91412877699999995</v>
      </c>
      <c r="P547" t="b">
        <v>0</v>
      </c>
      <c r="Q547">
        <v>0.88286999200000005</v>
      </c>
      <c r="R547" s="2">
        <v>1</v>
      </c>
      <c r="S547" s="2" t="str">
        <f t="shared" si="33"/>
        <v>Jun</v>
      </c>
      <c r="T547">
        <f t="shared" si="34"/>
        <v>2026</v>
      </c>
      <c r="U547" s="2" t="str">
        <f t="shared" si="35"/>
        <v>Q2</v>
      </c>
      <c r="V547" t="str">
        <f t="shared" si="36"/>
        <v>Completed</v>
      </c>
    </row>
    <row r="548" spans="1:22" x14ac:dyDescent="0.3">
      <c r="A548" s="2">
        <v>547</v>
      </c>
      <c r="B548" s="1">
        <v>46204</v>
      </c>
      <c r="C548" s="2" t="s">
        <v>16</v>
      </c>
      <c r="D548">
        <v>1685</v>
      </c>
      <c r="E548">
        <v>4457</v>
      </c>
      <c r="F548">
        <v>489</v>
      </c>
      <c r="G548">
        <v>2404</v>
      </c>
      <c r="H548">
        <v>263</v>
      </c>
      <c r="I548">
        <v>0.247067386</v>
      </c>
      <c r="J548">
        <v>0.920822064</v>
      </c>
      <c r="K548">
        <v>367</v>
      </c>
      <c r="L548">
        <v>2274</v>
      </c>
      <c r="M548" s="2">
        <v>8</v>
      </c>
      <c r="N548">
        <v>0.65841791800000005</v>
      </c>
      <c r="O548">
        <v>0.86022520300000005</v>
      </c>
      <c r="P548" t="b">
        <v>0</v>
      </c>
      <c r="Q548">
        <v>0.32277187200000002</v>
      </c>
      <c r="R548" s="2">
        <v>1</v>
      </c>
      <c r="S548" s="2" t="str">
        <f t="shared" si="33"/>
        <v>Jul</v>
      </c>
      <c r="T548">
        <f t="shared" si="34"/>
        <v>2026</v>
      </c>
      <c r="U548" s="2" t="str">
        <f t="shared" si="35"/>
        <v>Q3</v>
      </c>
      <c r="V548" t="str">
        <f t="shared" si="36"/>
        <v>Completed</v>
      </c>
    </row>
    <row r="549" spans="1:22" x14ac:dyDescent="0.3">
      <c r="A549" s="2">
        <v>548</v>
      </c>
      <c r="B549" s="1">
        <v>46205</v>
      </c>
      <c r="C549" s="2" t="s">
        <v>18</v>
      </c>
      <c r="D549">
        <v>2041</v>
      </c>
      <c r="E549">
        <v>2661</v>
      </c>
      <c r="F549">
        <v>290</v>
      </c>
      <c r="G549">
        <v>692</v>
      </c>
      <c r="H549">
        <v>542</v>
      </c>
      <c r="I549">
        <v>0.78706959399999998</v>
      </c>
      <c r="J549">
        <v>1.209500947</v>
      </c>
      <c r="K549">
        <v>1519</v>
      </c>
      <c r="L549">
        <v>2268</v>
      </c>
      <c r="M549" s="2">
        <v>9</v>
      </c>
      <c r="N549">
        <v>0.64080608900000002</v>
      </c>
      <c r="O549">
        <v>0.99411722599999996</v>
      </c>
      <c r="P549" t="b">
        <v>0</v>
      </c>
      <c r="Q549">
        <v>0.395543745</v>
      </c>
      <c r="R549" s="2">
        <v>1</v>
      </c>
      <c r="S549" s="2" t="str">
        <f t="shared" si="33"/>
        <v>Jul</v>
      </c>
      <c r="T549">
        <f t="shared" si="34"/>
        <v>2026</v>
      </c>
      <c r="U549" s="2" t="str">
        <f t="shared" si="35"/>
        <v>Q3</v>
      </c>
      <c r="V549" t="str">
        <f t="shared" si="36"/>
        <v>Completed</v>
      </c>
    </row>
    <row r="550" spans="1:22" x14ac:dyDescent="0.3">
      <c r="A550" s="2">
        <v>549</v>
      </c>
      <c r="B550" s="1">
        <v>46206</v>
      </c>
      <c r="C550" s="2" t="s">
        <v>5</v>
      </c>
      <c r="D550">
        <v>3579</v>
      </c>
      <c r="E550">
        <v>2954</v>
      </c>
      <c r="F550">
        <v>3141</v>
      </c>
      <c r="G550">
        <v>467</v>
      </c>
      <c r="H550">
        <v>1881</v>
      </c>
      <c r="I550">
        <v>0.47964050000000003</v>
      </c>
      <c r="J550">
        <v>1.3789483549999999</v>
      </c>
      <c r="K550">
        <v>2797</v>
      </c>
      <c r="L550">
        <v>831</v>
      </c>
      <c r="M550" s="2">
        <v>2</v>
      </c>
      <c r="N550">
        <v>1.7075515830000001</v>
      </c>
      <c r="O550">
        <v>0.93392864200000003</v>
      </c>
      <c r="P550" t="b">
        <v>1</v>
      </c>
      <c r="Q550">
        <v>0.70993458700000001</v>
      </c>
      <c r="R550" s="2">
        <v>1</v>
      </c>
      <c r="S550" s="2" t="str">
        <f t="shared" si="33"/>
        <v>Jul</v>
      </c>
      <c r="T550">
        <f t="shared" si="34"/>
        <v>2026</v>
      </c>
      <c r="U550" s="2" t="str">
        <f t="shared" si="35"/>
        <v>Q3</v>
      </c>
      <c r="V550" t="str">
        <f t="shared" si="36"/>
        <v>Completed</v>
      </c>
    </row>
    <row r="551" spans="1:22" x14ac:dyDescent="0.3">
      <c r="A551" s="2">
        <v>550</v>
      </c>
      <c r="B551" s="1">
        <v>46207</v>
      </c>
      <c r="C551" s="2" t="s">
        <v>5</v>
      </c>
      <c r="D551">
        <v>1830</v>
      </c>
      <c r="E551">
        <v>2292</v>
      </c>
      <c r="F551">
        <v>307</v>
      </c>
      <c r="G551">
        <v>1836</v>
      </c>
      <c r="H551">
        <v>101</v>
      </c>
      <c r="I551">
        <v>0.26298753000000002</v>
      </c>
      <c r="J551">
        <v>2.892880849</v>
      </c>
      <c r="K551">
        <v>4003</v>
      </c>
      <c r="L551">
        <v>2220</v>
      </c>
      <c r="M551" s="2">
        <v>7</v>
      </c>
      <c r="N551">
        <v>1.882472878</v>
      </c>
      <c r="O551">
        <v>0.83045583899999997</v>
      </c>
      <c r="P551" t="b">
        <v>0</v>
      </c>
      <c r="Q551">
        <v>0.35241210099999998</v>
      </c>
      <c r="R551" s="2">
        <v>1</v>
      </c>
      <c r="S551" s="2" t="str">
        <f t="shared" si="33"/>
        <v>Jul</v>
      </c>
      <c r="T551">
        <f t="shared" si="34"/>
        <v>2026</v>
      </c>
      <c r="U551" s="2" t="str">
        <f t="shared" si="35"/>
        <v>Q3</v>
      </c>
      <c r="V551" t="str">
        <f t="shared" si="36"/>
        <v>Completed</v>
      </c>
    </row>
    <row r="552" spans="1:22" x14ac:dyDescent="0.3">
      <c r="A552" s="2">
        <v>551</v>
      </c>
      <c r="B552" s="1">
        <v>46208</v>
      </c>
      <c r="C552" s="2" t="s">
        <v>17</v>
      </c>
      <c r="D552">
        <v>2506</v>
      </c>
      <c r="E552">
        <v>2680</v>
      </c>
      <c r="F552">
        <v>2461</v>
      </c>
      <c r="G552">
        <v>2413</v>
      </c>
      <c r="H552">
        <v>3517</v>
      </c>
      <c r="I552">
        <v>0.69002686599999996</v>
      </c>
      <c r="J552">
        <v>2.6256220639999999</v>
      </c>
      <c r="K552">
        <v>3844</v>
      </c>
      <c r="L552">
        <v>2088</v>
      </c>
      <c r="M552" s="2">
        <v>1</v>
      </c>
      <c r="N552">
        <v>1.390710353</v>
      </c>
      <c r="O552">
        <v>0.82383458899999995</v>
      </c>
      <c r="P552" t="b">
        <v>0</v>
      </c>
      <c r="Q552">
        <v>0.49059689299999998</v>
      </c>
      <c r="R552" s="2">
        <v>1</v>
      </c>
      <c r="S552" s="2" t="str">
        <f t="shared" si="33"/>
        <v>Jul</v>
      </c>
      <c r="T552">
        <f t="shared" si="34"/>
        <v>2026</v>
      </c>
      <c r="U552" s="2" t="str">
        <f t="shared" si="35"/>
        <v>Q3</v>
      </c>
      <c r="V552" t="str">
        <f t="shared" si="36"/>
        <v>Completed</v>
      </c>
    </row>
    <row r="553" spans="1:22" x14ac:dyDescent="0.3">
      <c r="A553" s="2">
        <v>552</v>
      </c>
      <c r="B553" s="1">
        <v>46209</v>
      </c>
      <c r="C553" s="2" t="s">
        <v>17</v>
      </c>
      <c r="D553">
        <v>1381</v>
      </c>
      <c r="E553">
        <v>1170</v>
      </c>
      <c r="F553">
        <v>358</v>
      </c>
      <c r="G553">
        <v>2868</v>
      </c>
      <c r="H553">
        <v>3198</v>
      </c>
      <c r="I553">
        <v>0.54585165999999996</v>
      </c>
      <c r="J553">
        <v>2.28481406</v>
      </c>
      <c r="K553">
        <v>3384</v>
      </c>
      <c r="L553">
        <v>1488</v>
      </c>
      <c r="M553" s="2">
        <v>1</v>
      </c>
      <c r="N553">
        <v>1.700385308</v>
      </c>
      <c r="O553">
        <v>0.95316132200000003</v>
      </c>
      <c r="P553" t="b">
        <v>0</v>
      </c>
      <c r="Q553">
        <v>0.26062959899999999</v>
      </c>
      <c r="R553" s="2">
        <v>1</v>
      </c>
      <c r="S553" s="2" t="str">
        <f t="shared" si="33"/>
        <v>Jul</v>
      </c>
      <c r="T553">
        <f t="shared" si="34"/>
        <v>2026</v>
      </c>
      <c r="U553" s="2" t="str">
        <f t="shared" si="35"/>
        <v>Q3</v>
      </c>
      <c r="V553" t="str">
        <f t="shared" si="36"/>
        <v>Completed</v>
      </c>
    </row>
    <row r="554" spans="1:22" x14ac:dyDescent="0.3">
      <c r="A554" s="2">
        <v>553</v>
      </c>
      <c r="B554" s="1">
        <v>46210</v>
      </c>
      <c r="C554" s="2" t="s">
        <v>5</v>
      </c>
      <c r="D554">
        <v>1549</v>
      </c>
      <c r="E554">
        <v>1563</v>
      </c>
      <c r="F554">
        <v>2960</v>
      </c>
      <c r="G554">
        <v>2139</v>
      </c>
      <c r="H554">
        <v>2935</v>
      </c>
      <c r="I554">
        <v>0.77485389400000004</v>
      </c>
      <c r="J554">
        <v>2.287482834</v>
      </c>
      <c r="K554">
        <v>1666</v>
      </c>
      <c r="L554">
        <v>3757</v>
      </c>
      <c r="M554" s="2">
        <v>9</v>
      </c>
      <c r="N554">
        <v>1.0841017150000001</v>
      </c>
      <c r="O554">
        <v>0.80442773899999998</v>
      </c>
      <c r="P554" t="b">
        <v>0</v>
      </c>
      <c r="Q554">
        <v>0.294971382</v>
      </c>
      <c r="R554" s="2">
        <v>1</v>
      </c>
      <c r="S554" s="2" t="str">
        <f t="shared" si="33"/>
        <v>Jul</v>
      </c>
      <c r="T554">
        <f t="shared" si="34"/>
        <v>2026</v>
      </c>
      <c r="U554" s="2" t="str">
        <f t="shared" si="35"/>
        <v>Q3</v>
      </c>
      <c r="V554" t="str">
        <f t="shared" si="36"/>
        <v>Completed</v>
      </c>
    </row>
    <row r="555" spans="1:22" x14ac:dyDescent="0.3">
      <c r="A555" s="2">
        <v>554</v>
      </c>
      <c r="B555" s="1">
        <v>46211</v>
      </c>
      <c r="C555" s="2" t="s">
        <v>17</v>
      </c>
      <c r="D555">
        <v>3634</v>
      </c>
      <c r="E555">
        <v>1303</v>
      </c>
      <c r="F555">
        <v>3791</v>
      </c>
      <c r="G555">
        <v>2503</v>
      </c>
      <c r="H555">
        <v>905</v>
      </c>
      <c r="I555">
        <v>0.76551133199999999</v>
      </c>
      <c r="J555">
        <v>1.6077431040000001</v>
      </c>
      <c r="K555">
        <v>2921</v>
      </c>
      <c r="L555">
        <v>821</v>
      </c>
      <c r="M555" s="2">
        <v>4</v>
      </c>
      <c r="N555">
        <v>1.2186036389999999</v>
      </c>
      <c r="O555">
        <v>0.90320775399999997</v>
      </c>
      <c r="P555" t="b">
        <v>0</v>
      </c>
      <c r="Q555">
        <v>0.72117743300000003</v>
      </c>
      <c r="R555" s="2">
        <v>1</v>
      </c>
      <c r="S555" s="2" t="str">
        <f t="shared" si="33"/>
        <v>Jul</v>
      </c>
      <c r="T555">
        <f t="shared" si="34"/>
        <v>2026</v>
      </c>
      <c r="U555" s="2" t="str">
        <f t="shared" si="35"/>
        <v>Q3</v>
      </c>
      <c r="V555" t="str">
        <f t="shared" si="36"/>
        <v>Completed</v>
      </c>
    </row>
    <row r="556" spans="1:22" x14ac:dyDescent="0.3">
      <c r="A556" s="2">
        <v>555</v>
      </c>
      <c r="B556" s="1">
        <v>46212</v>
      </c>
      <c r="C556" s="2" t="s">
        <v>5</v>
      </c>
      <c r="D556">
        <v>1173</v>
      </c>
      <c r="E556">
        <v>1596</v>
      </c>
      <c r="F556">
        <v>1554</v>
      </c>
      <c r="G556">
        <v>2394</v>
      </c>
      <c r="H556">
        <v>2259</v>
      </c>
      <c r="I556">
        <v>0.78035769099999996</v>
      </c>
      <c r="J556">
        <v>1.627207909</v>
      </c>
      <c r="K556">
        <v>1142</v>
      </c>
      <c r="L556">
        <v>119</v>
      </c>
      <c r="M556" s="2">
        <v>5</v>
      </c>
      <c r="N556">
        <v>1.5602519640000001</v>
      </c>
      <c r="O556">
        <v>0.86999425699999999</v>
      </c>
      <c r="P556" t="b">
        <v>0</v>
      </c>
      <c r="Q556">
        <v>0.218111202</v>
      </c>
      <c r="R556" s="2">
        <v>1</v>
      </c>
      <c r="S556" s="2" t="str">
        <f t="shared" si="33"/>
        <v>Jul</v>
      </c>
      <c r="T556">
        <f t="shared" si="34"/>
        <v>2026</v>
      </c>
      <c r="U556" s="2" t="str">
        <f t="shared" si="35"/>
        <v>Q3</v>
      </c>
      <c r="V556" t="str">
        <f t="shared" si="36"/>
        <v>Completed</v>
      </c>
    </row>
    <row r="557" spans="1:22" x14ac:dyDescent="0.3">
      <c r="A557" s="2">
        <v>556</v>
      </c>
      <c r="B557" s="1">
        <v>46213</v>
      </c>
      <c r="C557" s="2" t="s">
        <v>17</v>
      </c>
      <c r="D557">
        <v>4594</v>
      </c>
      <c r="E557">
        <v>3329</v>
      </c>
      <c r="F557">
        <v>3135</v>
      </c>
      <c r="G557">
        <v>1668</v>
      </c>
      <c r="H557">
        <v>3403</v>
      </c>
      <c r="I557">
        <v>0.797478574</v>
      </c>
      <c r="J557">
        <v>1.0665710399999999</v>
      </c>
      <c r="K557">
        <v>1724</v>
      </c>
      <c r="L557">
        <v>972</v>
      </c>
      <c r="M557" s="2">
        <v>5</v>
      </c>
      <c r="N557">
        <v>0.93644280000000002</v>
      </c>
      <c r="O557">
        <v>0.90923253100000001</v>
      </c>
      <c r="P557" t="b">
        <v>0</v>
      </c>
      <c r="Q557">
        <v>0.91741618999999996</v>
      </c>
      <c r="R557" s="2">
        <v>0</v>
      </c>
      <c r="S557" s="2" t="str">
        <f t="shared" si="33"/>
        <v>Jul</v>
      </c>
      <c r="T557">
        <f t="shared" si="34"/>
        <v>2026</v>
      </c>
      <c r="U557" s="2" t="str">
        <f t="shared" si="35"/>
        <v>Q3</v>
      </c>
      <c r="V557" t="str">
        <f t="shared" si="36"/>
        <v>Completed</v>
      </c>
    </row>
    <row r="558" spans="1:22" x14ac:dyDescent="0.3">
      <c r="A558" s="2">
        <v>557</v>
      </c>
      <c r="B558" s="1">
        <v>46214</v>
      </c>
      <c r="C558" s="2" t="s">
        <v>18</v>
      </c>
      <c r="D558">
        <v>559</v>
      </c>
      <c r="E558">
        <v>2596</v>
      </c>
      <c r="F558">
        <v>3462</v>
      </c>
      <c r="G558">
        <v>569</v>
      </c>
      <c r="H558">
        <v>2597</v>
      </c>
      <c r="I558">
        <v>0.417063291</v>
      </c>
      <c r="J558">
        <v>1.7692726519999999</v>
      </c>
      <c r="K558">
        <v>3950</v>
      </c>
      <c r="L558">
        <v>2910</v>
      </c>
      <c r="M558" s="2">
        <v>7</v>
      </c>
      <c r="N558">
        <v>1.839003376</v>
      </c>
      <c r="O558">
        <v>0.832276244</v>
      </c>
      <c r="P558" t="b">
        <v>0</v>
      </c>
      <c r="Q558">
        <v>9.2600163999999999E-2</v>
      </c>
      <c r="R558" s="2">
        <v>1</v>
      </c>
      <c r="S558" s="2" t="str">
        <f t="shared" si="33"/>
        <v>Jul</v>
      </c>
      <c r="T558">
        <f t="shared" si="34"/>
        <v>2026</v>
      </c>
      <c r="U558" s="2" t="str">
        <f t="shared" si="35"/>
        <v>Q3</v>
      </c>
      <c r="V558" t="str">
        <f t="shared" si="36"/>
        <v>Failed</v>
      </c>
    </row>
    <row r="559" spans="1:22" x14ac:dyDescent="0.3">
      <c r="A559" s="2">
        <v>558</v>
      </c>
      <c r="B559" s="1">
        <v>46215</v>
      </c>
      <c r="C559" s="2" t="s">
        <v>17</v>
      </c>
      <c r="D559">
        <v>4459</v>
      </c>
      <c r="E559">
        <v>1403</v>
      </c>
      <c r="F559">
        <v>2605</v>
      </c>
      <c r="G559">
        <v>2411</v>
      </c>
      <c r="H559">
        <v>3064</v>
      </c>
      <c r="I559">
        <v>0.69449753800000003</v>
      </c>
      <c r="J559">
        <v>2.272433548</v>
      </c>
      <c r="K559">
        <v>522</v>
      </c>
      <c r="L559">
        <v>2840</v>
      </c>
      <c r="M559" s="2">
        <v>2</v>
      </c>
      <c r="N559">
        <v>1.7646280430000001</v>
      </c>
      <c r="O559">
        <v>0.88717106999999995</v>
      </c>
      <c r="P559" t="b">
        <v>0</v>
      </c>
      <c r="Q559">
        <v>0.88982011400000005</v>
      </c>
      <c r="R559" s="2">
        <v>1</v>
      </c>
      <c r="S559" s="2" t="str">
        <f t="shared" si="33"/>
        <v>Jul</v>
      </c>
      <c r="T559">
        <f t="shared" si="34"/>
        <v>2026</v>
      </c>
      <c r="U559" s="2" t="str">
        <f t="shared" si="35"/>
        <v>Q3</v>
      </c>
      <c r="V559" t="str">
        <f t="shared" si="36"/>
        <v>Completed</v>
      </c>
    </row>
    <row r="560" spans="1:22" x14ac:dyDescent="0.3">
      <c r="A560" s="2">
        <v>559</v>
      </c>
      <c r="B560" s="1">
        <v>46216</v>
      </c>
      <c r="C560" s="2" t="s">
        <v>17</v>
      </c>
      <c r="D560">
        <v>1291</v>
      </c>
      <c r="E560">
        <v>3441</v>
      </c>
      <c r="F560">
        <v>1159</v>
      </c>
      <c r="G560">
        <v>1410</v>
      </c>
      <c r="H560">
        <v>2063</v>
      </c>
      <c r="I560">
        <v>0.73570595599999999</v>
      </c>
      <c r="J560">
        <v>0.93925961400000002</v>
      </c>
      <c r="K560">
        <v>4473</v>
      </c>
      <c r="L560">
        <v>1510</v>
      </c>
      <c r="M560" s="2">
        <v>6</v>
      </c>
      <c r="N560">
        <v>1.312480603</v>
      </c>
      <c r="O560">
        <v>0.96481356699999998</v>
      </c>
      <c r="P560" t="b">
        <v>0</v>
      </c>
      <c r="Q560">
        <v>0.242232216</v>
      </c>
      <c r="R560" s="2">
        <v>1</v>
      </c>
      <c r="S560" s="2" t="str">
        <f t="shared" si="33"/>
        <v>Jul</v>
      </c>
      <c r="T560">
        <f t="shared" si="34"/>
        <v>2026</v>
      </c>
      <c r="U560" s="2" t="str">
        <f t="shared" si="35"/>
        <v>Q3</v>
      </c>
      <c r="V560" t="str">
        <f t="shared" si="36"/>
        <v>Completed</v>
      </c>
    </row>
    <row r="561" spans="1:22" x14ac:dyDescent="0.3">
      <c r="A561" s="2">
        <v>560</v>
      </c>
      <c r="B561" s="1">
        <v>46217</v>
      </c>
      <c r="C561" s="2" t="s">
        <v>17</v>
      </c>
      <c r="D561">
        <v>665</v>
      </c>
      <c r="E561">
        <v>2619</v>
      </c>
      <c r="F561">
        <v>1883</v>
      </c>
      <c r="G561">
        <v>2839</v>
      </c>
      <c r="H561">
        <v>834</v>
      </c>
      <c r="I561">
        <v>0.68153176400000004</v>
      </c>
      <c r="J561">
        <v>1.3719348760000001</v>
      </c>
      <c r="K561">
        <v>1779</v>
      </c>
      <c r="L561">
        <v>280</v>
      </c>
      <c r="M561" s="2">
        <v>3</v>
      </c>
      <c r="N561">
        <v>0.80130179599999996</v>
      </c>
      <c r="O561">
        <v>0.93570861400000005</v>
      </c>
      <c r="P561" t="b">
        <v>0</v>
      </c>
      <c r="Q561">
        <v>0.114268193</v>
      </c>
      <c r="R561" s="2">
        <v>1</v>
      </c>
      <c r="S561" s="2" t="str">
        <f t="shared" si="33"/>
        <v>Jul</v>
      </c>
      <c r="T561">
        <f t="shared" si="34"/>
        <v>2026</v>
      </c>
      <c r="U561" s="2" t="str">
        <f t="shared" si="35"/>
        <v>Q3</v>
      </c>
      <c r="V561" t="str">
        <f t="shared" si="36"/>
        <v>Completed</v>
      </c>
    </row>
    <row r="562" spans="1:22" x14ac:dyDescent="0.3">
      <c r="A562" s="2">
        <v>561</v>
      </c>
      <c r="B562" s="1">
        <v>46218</v>
      </c>
      <c r="C562" s="2" t="s">
        <v>5</v>
      </c>
      <c r="D562">
        <v>3259</v>
      </c>
      <c r="E562">
        <v>1148</v>
      </c>
      <c r="F562">
        <v>3279</v>
      </c>
      <c r="G562">
        <v>441</v>
      </c>
      <c r="H562">
        <v>3342</v>
      </c>
      <c r="I562">
        <v>0.56494498900000001</v>
      </c>
      <c r="J562">
        <v>0.79304308099999998</v>
      </c>
      <c r="K562">
        <v>541</v>
      </c>
      <c r="L562">
        <v>1322</v>
      </c>
      <c r="M562" s="2">
        <v>9</v>
      </c>
      <c r="N562">
        <v>0.53865697599999995</v>
      </c>
      <c r="O562">
        <v>0.88739523300000001</v>
      </c>
      <c r="P562" t="b">
        <v>0</v>
      </c>
      <c r="Q562">
        <v>0.64452166799999999</v>
      </c>
      <c r="R562" s="2">
        <v>1</v>
      </c>
      <c r="S562" s="2" t="str">
        <f t="shared" si="33"/>
        <v>Jul</v>
      </c>
      <c r="T562">
        <f t="shared" si="34"/>
        <v>2026</v>
      </c>
      <c r="U562" s="2" t="str">
        <f t="shared" si="35"/>
        <v>Q3</v>
      </c>
      <c r="V562" t="str">
        <f t="shared" si="36"/>
        <v>Completed</v>
      </c>
    </row>
    <row r="563" spans="1:22" x14ac:dyDescent="0.3">
      <c r="A563" s="2">
        <v>562</v>
      </c>
      <c r="B563" s="1">
        <v>46219</v>
      </c>
      <c r="C563" s="2" t="s">
        <v>16</v>
      </c>
      <c r="D563">
        <v>326</v>
      </c>
      <c r="E563">
        <v>1256</v>
      </c>
      <c r="F563">
        <v>678</v>
      </c>
      <c r="G563">
        <v>1972</v>
      </c>
      <c r="H563">
        <v>2853</v>
      </c>
      <c r="I563">
        <v>0.50042215199999995</v>
      </c>
      <c r="J563">
        <v>0.50510359699999996</v>
      </c>
      <c r="K563">
        <v>408</v>
      </c>
      <c r="L563">
        <v>3760</v>
      </c>
      <c r="M563" s="2">
        <v>1</v>
      </c>
      <c r="N563">
        <v>1.0083067100000001</v>
      </c>
      <c r="O563">
        <v>0.88603045300000005</v>
      </c>
      <c r="P563" t="b">
        <v>0</v>
      </c>
      <c r="Q563">
        <v>4.4971381999999997E-2</v>
      </c>
      <c r="R563" s="2">
        <v>1</v>
      </c>
      <c r="S563" s="2" t="str">
        <f t="shared" si="33"/>
        <v>Jul</v>
      </c>
      <c r="T563">
        <f t="shared" si="34"/>
        <v>2026</v>
      </c>
      <c r="U563" s="2" t="str">
        <f t="shared" si="35"/>
        <v>Q3</v>
      </c>
      <c r="V563" t="str">
        <f t="shared" si="36"/>
        <v>Completed</v>
      </c>
    </row>
    <row r="564" spans="1:22" x14ac:dyDescent="0.3">
      <c r="A564" s="2">
        <v>563</v>
      </c>
      <c r="B564" s="1">
        <v>46220</v>
      </c>
      <c r="C564" s="2" t="s">
        <v>17</v>
      </c>
      <c r="D564">
        <v>2427</v>
      </c>
      <c r="E564">
        <v>2593</v>
      </c>
      <c r="F564">
        <v>412</v>
      </c>
      <c r="G564">
        <v>1648</v>
      </c>
      <c r="H564">
        <v>1560</v>
      </c>
      <c r="I564">
        <v>0.74348179400000003</v>
      </c>
      <c r="J564">
        <v>1.326840086</v>
      </c>
      <c r="K564">
        <v>1034</v>
      </c>
      <c r="L564">
        <v>1228</v>
      </c>
      <c r="M564" s="2">
        <v>9</v>
      </c>
      <c r="N564">
        <v>1.108809119</v>
      </c>
      <c r="O564">
        <v>0.92777270899999997</v>
      </c>
      <c r="P564" t="b">
        <v>0</v>
      </c>
      <c r="Q564">
        <v>0.474448078</v>
      </c>
      <c r="R564" s="2">
        <v>0</v>
      </c>
      <c r="S564" s="2" t="str">
        <f t="shared" si="33"/>
        <v>Jul</v>
      </c>
      <c r="T564">
        <f t="shared" si="34"/>
        <v>2026</v>
      </c>
      <c r="U564" s="2" t="str">
        <f t="shared" si="35"/>
        <v>Q3</v>
      </c>
      <c r="V564" t="str">
        <f t="shared" si="36"/>
        <v>Completed</v>
      </c>
    </row>
    <row r="565" spans="1:22" x14ac:dyDescent="0.3">
      <c r="A565" s="2">
        <v>564</v>
      </c>
      <c r="B565" s="1">
        <v>46221</v>
      </c>
      <c r="C565" s="2" t="s">
        <v>16</v>
      </c>
      <c r="D565">
        <v>4965</v>
      </c>
      <c r="E565">
        <v>1925</v>
      </c>
      <c r="F565">
        <v>2894</v>
      </c>
      <c r="G565">
        <v>1714</v>
      </c>
      <c r="H565">
        <v>294</v>
      </c>
      <c r="I565">
        <v>0.55116890799999996</v>
      </c>
      <c r="J565">
        <v>0.94954167899999997</v>
      </c>
      <c r="K565">
        <v>2739</v>
      </c>
      <c r="L565">
        <v>765</v>
      </c>
      <c r="M565" s="2">
        <v>6</v>
      </c>
      <c r="N565">
        <v>1.6662554780000001</v>
      </c>
      <c r="O565">
        <v>0.87016918200000004</v>
      </c>
      <c r="P565" t="b">
        <v>0</v>
      </c>
      <c r="Q565">
        <v>0.99325429300000001</v>
      </c>
      <c r="R565" s="2">
        <v>1</v>
      </c>
      <c r="S565" s="2" t="str">
        <f t="shared" si="33"/>
        <v>Jul</v>
      </c>
      <c r="T565">
        <f t="shared" si="34"/>
        <v>2026</v>
      </c>
      <c r="U565" s="2" t="str">
        <f t="shared" si="35"/>
        <v>Q3</v>
      </c>
      <c r="V565" t="str">
        <f t="shared" si="36"/>
        <v>Failed</v>
      </c>
    </row>
    <row r="566" spans="1:22" x14ac:dyDescent="0.3">
      <c r="A566" s="2">
        <v>565</v>
      </c>
      <c r="B566" s="1">
        <v>46222</v>
      </c>
      <c r="C566" s="2" t="s">
        <v>17</v>
      </c>
      <c r="D566">
        <v>2994</v>
      </c>
      <c r="E566">
        <v>3038</v>
      </c>
      <c r="F566">
        <v>2203</v>
      </c>
      <c r="G566">
        <v>1768</v>
      </c>
      <c r="H566">
        <v>1681</v>
      </c>
      <c r="I566">
        <v>0.21607418</v>
      </c>
      <c r="J566">
        <v>0.95233763400000004</v>
      </c>
      <c r="K566">
        <v>3622</v>
      </c>
      <c r="L566">
        <v>3019</v>
      </c>
      <c r="M566" s="2">
        <v>8</v>
      </c>
      <c r="N566">
        <v>0.92354919300000005</v>
      </c>
      <c r="O566">
        <v>0.84502008900000003</v>
      </c>
      <c r="P566" t="b">
        <v>0</v>
      </c>
      <c r="Q566">
        <v>0.59035159400000004</v>
      </c>
      <c r="R566" s="2">
        <v>1</v>
      </c>
      <c r="S566" s="2" t="str">
        <f t="shared" si="33"/>
        <v>Jul</v>
      </c>
      <c r="T566">
        <f t="shared" si="34"/>
        <v>2026</v>
      </c>
      <c r="U566" s="2" t="str">
        <f t="shared" si="35"/>
        <v>Q3</v>
      </c>
      <c r="V566" t="str">
        <f t="shared" si="36"/>
        <v>Completed</v>
      </c>
    </row>
    <row r="567" spans="1:22" x14ac:dyDescent="0.3">
      <c r="A567" s="2">
        <v>566</v>
      </c>
      <c r="B567" s="1">
        <v>46223</v>
      </c>
      <c r="C567" s="2" t="s">
        <v>17</v>
      </c>
      <c r="D567">
        <v>2528</v>
      </c>
      <c r="E567">
        <v>4377</v>
      </c>
      <c r="F567">
        <v>1545</v>
      </c>
      <c r="G567">
        <v>3463</v>
      </c>
      <c r="H567">
        <v>3856</v>
      </c>
      <c r="I567">
        <v>0.59411056600000001</v>
      </c>
      <c r="J567">
        <v>1.841541189</v>
      </c>
      <c r="K567">
        <v>723</v>
      </c>
      <c r="L567">
        <v>3026</v>
      </c>
      <c r="M567" s="2">
        <v>9</v>
      </c>
      <c r="N567">
        <v>0.890286091</v>
      </c>
      <c r="O567">
        <v>0.98890679000000004</v>
      </c>
      <c r="P567" t="b">
        <v>0</v>
      </c>
      <c r="Q567">
        <v>0.49509403099999999</v>
      </c>
      <c r="R567" s="2">
        <v>1</v>
      </c>
      <c r="S567" s="2" t="str">
        <f t="shared" si="33"/>
        <v>Jul</v>
      </c>
      <c r="T567">
        <f t="shared" si="34"/>
        <v>2026</v>
      </c>
      <c r="U567" s="2" t="str">
        <f t="shared" si="35"/>
        <v>Q3</v>
      </c>
      <c r="V567" t="str">
        <f t="shared" si="36"/>
        <v>Completed</v>
      </c>
    </row>
    <row r="568" spans="1:22" x14ac:dyDescent="0.3">
      <c r="A568" s="2">
        <v>567</v>
      </c>
      <c r="B568" s="1">
        <v>46224</v>
      </c>
      <c r="C568" s="2" t="s">
        <v>16</v>
      </c>
      <c r="D568">
        <v>1411</v>
      </c>
      <c r="E568">
        <v>506</v>
      </c>
      <c r="F568">
        <v>3788</v>
      </c>
      <c r="G568">
        <v>1426</v>
      </c>
      <c r="H568">
        <v>3765</v>
      </c>
      <c r="I568">
        <v>0.44354366299999998</v>
      </c>
      <c r="J568">
        <v>1.0805822519999999</v>
      </c>
      <c r="K568">
        <v>2903</v>
      </c>
      <c r="L568">
        <v>1207</v>
      </c>
      <c r="M568" s="2">
        <v>2</v>
      </c>
      <c r="N568">
        <v>1.2137873539999999</v>
      </c>
      <c r="O568">
        <v>0.96176471600000002</v>
      </c>
      <c r="P568" t="b">
        <v>0</v>
      </c>
      <c r="Q568">
        <v>0.26676206099999999</v>
      </c>
      <c r="R568" s="2">
        <v>1</v>
      </c>
      <c r="S568" s="2" t="str">
        <f t="shared" si="33"/>
        <v>Jul</v>
      </c>
      <c r="T568">
        <f t="shared" si="34"/>
        <v>2026</v>
      </c>
      <c r="U568" s="2" t="str">
        <f t="shared" si="35"/>
        <v>Q3</v>
      </c>
      <c r="V568" t="str">
        <f t="shared" si="36"/>
        <v>Completed</v>
      </c>
    </row>
    <row r="569" spans="1:22" x14ac:dyDescent="0.3">
      <c r="A569" s="2">
        <v>568</v>
      </c>
      <c r="B569" s="1">
        <v>46225</v>
      </c>
      <c r="C569" s="2" t="s">
        <v>17</v>
      </c>
      <c r="D569">
        <v>2445</v>
      </c>
      <c r="E569">
        <v>1099</v>
      </c>
      <c r="F569">
        <v>2484</v>
      </c>
      <c r="G569">
        <v>1249</v>
      </c>
      <c r="H569">
        <v>1260</v>
      </c>
      <c r="I569">
        <v>0.26558180999999997</v>
      </c>
      <c r="J569">
        <v>2.8150747520000001</v>
      </c>
      <c r="K569">
        <v>446</v>
      </c>
      <c r="L569">
        <v>3799</v>
      </c>
      <c r="M569" s="2">
        <v>8</v>
      </c>
      <c r="N569">
        <v>0.95346975099999998</v>
      </c>
      <c r="O569">
        <v>0.915582483</v>
      </c>
      <c r="P569" t="b">
        <v>0</v>
      </c>
      <c r="Q569">
        <v>0.47812755499999998</v>
      </c>
      <c r="R569" s="2">
        <v>1</v>
      </c>
      <c r="S569" s="2" t="str">
        <f t="shared" si="33"/>
        <v>Jul</v>
      </c>
      <c r="T569">
        <f t="shared" si="34"/>
        <v>2026</v>
      </c>
      <c r="U569" s="2" t="str">
        <f t="shared" si="35"/>
        <v>Q3</v>
      </c>
      <c r="V569" t="str">
        <f t="shared" si="36"/>
        <v>Completed</v>
      </c>
    </row>
    <row r="570" spans="1:22" x14ac:dyDescent="0.3">
      <c r="A570" s="2">
        <v>569</v>
      </c>
      <c r="B570" s="1">
        <v>46226</v>
      </c>
      <c r="C570" s="2" t="s">
        <v>5</v>
      </c>
      <c r="D570">
        <v>1879</v>
      </c>
      <c r="E570">
        <v>1667</v>
      </c>
      <c r="F570">
        <v>3174</v>
      </c>
      <c r="G570">
        <v>642</v>
      </c>
      <c r="H570">
        <v>3420</v>
      </c>
      <c r="I570">
        <v>0.58842858799999997</v>
      </c>
      <c r="J570">
        <v>1.8153476049999999</v>
      </c>
      <c r="K570">
        <v>4704</v>
      </c>
      <c r="L570">
        <v>121</v>
      </c>
      <c r="M570" s="2">
        <v>1</v>
      </c>
      <c r="N570">
        <v>1.789441992</v>
      </c>
      <c r="O570">
        <v>0.89985235299999999</v>
      </c>
      <c r="P570" t="b">
        <v>0</v>
      </c>
      <c r="Q570">
        <v>0.36242845499999998</v>
      </c>
      <c r="R570" s="2">
        <v>1</v>
      </c>
      <c r="S570" s="2" t="str">
        <f t="shared" si="33"/>
        <v>Jul</v>
      </c>
      <c r="T570">
        <f t="shared" si="34"/>
        <v>2026</v>
      </c>
      <c r="U570" s="2" t="str">
        <f t="shared" si="35"/>
        <v>Q3</v>
      </c>
      <c r="V570" t="str">
        <f t="shared" si="36"/>
        <v>Completed</v>
      </c>
    </row>
    <row r="571" spans="1:22" x14ac:dyDescent="0.3">
      <c r="A571" s="2">
        <v>570</v>
      </c>
      <c r="B571" s="1">
        <v>46227</v>
      </c>
      <c r="C571" s="2" t="s">
        <v>17</v>
      </c>
      <c r="D571">
        <v>1778</v>
      </c>
      <c r="E571">
        <v>2340</v>
      </c>
      <c r="F571">
        <v>261</v>
      </c>
      <c r="G571">
        <v>4977</v>
      </c>
      <c r="H571">
        <v>3903</v>
      </c>
      <c r="I571">
        <v>0.38073209299999999</v>
      </c>
      <c r="J571">
        <v>2.379239068</v>
      </c>
      <c r="K571">
        <v>1476</v>
      </c>
      <c r="L571">
        <v>2816</v>
      </c>
      <c r="M571" s="2">
        <v>1</v>
      </c>
      <c r="N571">
        <v>1.1350366590000001</v>
      </c>
      <c r="O571">
        <v>0.98150450300000003</v>
      </c>
      <c r="P571" t="b">
        <v>0</v>
      </c>
      <c r="Q571">
        <v>0.34178250199999999</v>
      </c>
      <c r="R571" s="2">
        <v>1</v>
      </c>
      <c r="S571" s="2" t="str">
        <f t="shared" si="33"/>
        <v>Jul</v>
      </c>
      <c r="T571">
        <f t="shared" si="34"/>
        <v>2026</v>
      </c>
      <c r="U571" s="2" t="str">
        <f t="shared" si="35"/>
        <v>Q3</v>
      </c>
      <c r="V571" t="str">
        <f t="shared" si="36"/>
        <v>Completed</v>
      </c>
    </row>
    <row r="572" spans="1:22" x14ac:dyDescent="0.3">
      <c r="A572" s="2">
        <v>571</v>
      </c>
      <c r="B572" s="1">
        <v>46228</v>
      </c>
      <c r="C572" s="2" t="s">
        <v>16</v>
      </c>
      <c r="D572">
        <v>1745</v>
      </c>
      <c r="E572">
        <v>3650</v>
      </c>
      <c r="F572">
        <v>2622</v>
      </c>
      <c r="G572">
        <v>1466</v>
      </c>
      <c r="H572">
        <v>2975</v>
      </c>
      <c r="I572">
        <v>0.31162147600000001</v>
      </c>
      <c r="J572">
        <v>1.5696514159999999</v>
      </c>
      <c r="K572">
        <v>4195</v>
      </c>
      <c r="L572">
        <v>2303</v>
      </c>
      <c r="M572" s="2">
        <v>9</v>
      </c>
      <c r="N572">
        <v>1.982151164</v>
      </c>
      <c r="O572">
        <v>0.82173112100000001</v>
      </c>
      <c r="P572" t="b">
        <v>0</v>
      </c>
      <c r="Q572">
        <v>0.335036795</v>
      </c>
      <c r="R572" s="2">
        <v>1</v>
      </c>
      <c r="S572" s="2" t="str">
        <f t="shared" si="33"/>
        <v>Jul</v>
      </c>
      <c r="T572">
        <f t="shared" si="34"/>
        <v>2026</v>
      </c>
      <c r="U572" s="2" t="str">
        <f t="shared" si="35"/>
        <v>Q3</v>
      </c>
      <c r="V572" t="str">
        <f t="shared" si="36"/>
        <v>Completed</v>
      </c>
    </row>
    <row r="573" spans="1:22" x14ac:dyDescent="0.3">
      <c r="A573" s="2">
        <v>572</v>
      </c>
      <c r="B573" s="1">
        <v>46229</v>
      </c>
      <c r="C573" s="2" t="s">
        <v>18</v>
      </c>
      <c r="D573">
        <v>1939</v>
      </c>
      <c r="E573">
        <v>4160</v>
      </c>
      <c r="F573">
        <v>2574</v>
      </c>
      <c r="G573">
        <v>747</v>
      </c>
      <c r="H573">
        <v>2437</v>
      </c>
      <c r="I573">
        <v>0.49353803200000002</v>
      </c>
      <c r="J573">
        <v>1.153518944</v>
      </c>
      <c r="K573">
        <v>1277</v>
      </c>
      <c r="L573">
        <v>3869</v>
      </c>
      <c r="M573" s="2">
        <v>7</v>
      </c>
      <c r="N573">
        <v>0.85877981000000003</v>
      </c>
      <c r="O573">
        <v>0.89779642800000004</v>
      </c>
      <c r="P573" t="b">
        <v>0</v>
      </c>
      <c r="Q573">
        <v>0.37469337699999999</v>
      </c>
      <c r="R573" s="2">
        <v>1</v>
      </c>
      <c r="S573" s="2" t="str">
        <f t="shared" si="33"/>
        <v>Jul</v>
      </c>
      <c r="T573">
        <f t="shared" si="34"/>
        <v>2026</v>
      </c>
      <c r="U573" s="2" t="str">
        <f t="shared" si="35"/>
        <v>Q3</v>
      </c>
      <c r="V573" t="str">
        <f t="shared" si="36"/>
        <v>Completed</v>
      </c>
    </row>
    <row r="574" spans="1:22" x14ac:dyDescent="0.3">
      <c r="A574" s="2">
        <v>573</v>
      </c>
      <c r="B574" s="1">
        <v>46230</v>
      </c>
      <c r="C574" s="2" t="s">
        <v>16</v>
      </c>
      <c r="D574">
        <v>1992</v>
      </c>
      <c r="E574">
        <v>793</v>
      </c>
      <c r="F574">
        <v>3014</v>
      </c>
      <c r="G574">
        <v>3810</v>
      </c>
      <c r="H574">
        <v>2307</v>
      </c>
      <c r="I574">
        <v>0.29590335600000001</v>
      </c>
      <c r="J574">
        <v>1.350460371</v>
      </c>
      <c r="K574">
        <v>4926</v>
      </c>
      <c r="L574">
        <v>3435</v>
      </c>
      <c r="M574" s="2">
        <v>3</v>
      </c>
      <c r="N574">
        <v>1.254608385</v>
      </c>
      <c r="O574">
        <v>0.81833909000000005</v>
      </c>
      <c r="P574" t="b">
        <v>0</v>
      </c>
      <c r="Q574">
        <v>0.38552739200000002</v>
      </c>
      <c r="R574" s="2">
        <v>1</v>
      </c>
      <c r="S574" s="2" t="str">
        <f t="shared" si="33"/>
        <v>Jul</v>
      </c>
      <c r="T574">
        <f t="shared" si="34"/>
        <v>2026</v>
      </c>
      <c r="U574" s="2" t="str">
        <f t="shared" si="35"/>
        <v>Q3</v>
      </c>
      <c r="V574" t="str">
        <f t="shared" si="36"/>
        <v>Completed</v>
      </c>
    </row>
    <row r="575" spans="1:22" x14ac:dyDescent="0.3">
      <c r="A575" s="2">
        <v>574</v>
      </c>
      <c r="B575" s="1">
        <v>46231</v>
      </c>
      <c r="C575" s="2" t="s">
        <v>5</v>
      </c>
      <c r="D575">
        <v>2018</v>
      </c>
      <c r="E575">
        <v>1729</v>
      </c>
      <c r="F575">
        <v>3922</v>
      </c>
      <c r="G575">
        <v>1103</v>
      </c>
      <c r="H575">
        <v>2887</v>
      </c>
      <c r="I575">
        <v>0.72731861399999997</v>
      </c>
      <c r="J575">
        <v>2.1275025310000002</v>
      </c>
      <c r="K575">
        <v>2830</v>
      </c>
      <c r="L575">
        <v>2038</v>
      </c>
      <c r="M575" s="2">
        <v>9</v>
      </c>
      <c r="N575">
        <v>1.799272175</v>
      </c>
      <c r="O575">
        <v>0.87333997699999999</v>
      </c>
      <c r="P575" t="b">
        <v>0</v>
      </c>
      <c r="Q575">
        <v>0.39084219100000001</v>
      </c>
      <c r="R575" s="2">
        <v>1</v>
      </c>
      <c r="S575" s="2" t="str">
        <f t="shared" si="33"/>
        <v>Jul</v>
      </c>
      <c r="T575">
        <f t="shared" si="34"/>
        <v>2026</v>
      </c>
      <c r="U575" s="2" t="str">
        <f t="shared" si="35"/>
        <v>Q3</v>
      </c>
      <c r="V575" t="str">
        <f t="shared" si="36"/>
        <v>Completed</v>
      </c>
    </row>
    <row r="576" spans="1:22" x14ac:dyDescent="0.3">
      <c r="A576" s="2">
        <v>575</v>
      </c>
      <c r="B576" s="1">
        <v>46232</v>
      </c>
      <c r="C576" s="2" t="s">
        <v>17</v>
      </c>
      <c r="D576">
        <v>4862</v>
      </c>
      <c r="E576">
        <v>3900</v>
      </c>
      <c r="F576">
        <v>1669</v>
      </c>
      <c r="G576">
        <v>371</v>
      </c>
      <c r="H576">
        <v>3380</v>
      </c>
      <c r="I576">
        <v>0.728710635</v>
      </c>
      <c r="J576">
        <v>1.1097047090000001</v>
      </c>
      <c r="K576">
        <v>1877</v>
      </c>
      <c r="L576">
        <v>730</v>
      </c>
      <c r="M576" s="2">
        <v>2</v>
      </c>
      <c r="N576">
        <v>0.63249169299999997</v>
      </c>
      <c r="O576">
        <v>0.88283161200000004</v>
      </c>
      <c r="P576" t="b">
        <v>0</v>
      </c>
      <c r="Q576">
        <v>0.97219950899999996</v>
      </c>
      <c r="R576" s="2">
        <v>1</v>
      </c>
      <c r="S576" s="2" t="str">
        <f t="shared" si="33"/>
        <v>Jul</v>
      </c>
      <c r="T576">
        <f t="shared" si="34"/>
        <v>2026</v>
      </c>
      <c r="U576" s="2" t="str">
        <f t="shared" si="35"/>
        <v>Q3</v>
      </c>
      <c r="V576" t="str">
        <f t="shared" si="36"/>
        <v>Completed</v>
      </c>
    </row>
    <row r="577" spans="1:22" x14ac:dyDescent="0.3">
      <c r="A577" s="2">
        <v>576</v>
      </c>
      <c r="B577" s="1">
        <v>46233</v>
      </c>
      <c r="C577" s="2" t="s">
        <v>16</v>
      </c>
      <c r="D577">
        <v>2597</v>
      </c>
      <c r="E577">
        <v>1949</v>
      </c>
      <c r="F577">
        <v>590</v>
      </c>
      <c r="G577">
        <v>1608</v>
      </c>
      <c r="H577">
        <v>1008</v>
      </c>
      <c r="I577">
        <v>0.54712892999999996</v>
      </c>
      <c r="J577">
        <v>2.9266023759999999</v>
      </c>
      <c r="K577">
        <v>4107</v>
      </c>
      <c r="L577">
        <v>1814</v>
      </c>
      <c r="M577" s="2">
        <v>2</v>
      </c>
      <c r="N577">
        <v>1.322237286</v>
      </c>
      <c r="O577">
        <v>0.80570211999999997</v>
      </c>
      <c r="P577" t="b">
        <v>0</v>
      </c>
      <c r="Q577">
        <v>0.50919869200000001</v>
      </c>
      <c r="R577" s="2">
        <v>1</v>
      </c>
      <c r="S577" s="2" t="str">
        <f t="shared" si="33"/>
        <v>Jul</v>
      </c>
      <c r="T577">
        <f t="shared" si="34"/>
        <v>2026</v>
      </c>
      <c r="U577" s="2" t="str">
        <f t="shared" si="35"/>
        <v>Q3</v>
      </c>
      <c r="V577" t="str">
        <f t="shared" si="36"/>
        <v>Completed</v>
      </c>
    </row>
    <row r="578" spans="1:22" x14ac:dyDescent="0.3">
      <c r="A578" s="2">
        <v>577</v>
      </c>
      <c r="B578" s="1">
        <v>46234</v>
      </c>
      <c r="C578" s="2" t="s">
        <v>16</v>
      </c>
      <c r="D578">
        <v>2830</v>
      </c>
      <c r="E578">
        <v>3760</v>
      </c>
      <c r="F578">
        <v>2450</v>
      </c>
      <c r="G578">
        <v>4419</v>
      </c>
      <c r="H578">
        <v>781</v>
      </c>
      <c r="I578">
        <v>0.22810409500000001</v>
      </c>
      <c r="J578">
        <v>2.0673519269999998</v>
      </c>
      <c r="K578">
        <v>162</v>
      </c>
      <c r="L578">
        <v>1013</v>
      </c>
      <c r="M578" s="2">
        <v>3</v>
      </c>
      <c r="N578">
        <v>1.3152659659999999</v>
      </c>
      <c r="O578">
        <v>0.99088195000000001</v>
      </c>
      <c r="P578" t="b">
        <v>0</v>
      </c>
      <c r="Q578">
        <v>0.55682747300000002</v>
      </c>
      <c r="R578" s="2">
        <v>1</v>
      </c>
      <c r="S578" s="2" t="str">
        <f t="shared" ref="S578:S641" si="37">TEXT(B578,"MMM")</f>
        <v>Jul</v>
      </c>
      <c r="T578">
        <f t="shared" ref="T578:T641" si="38">YEAR(B578)</f>
        <v>2026</v>
      </c>
      <c r="U578" s="2" t="str">
        <f t="shared" si="35"/>
        <v>Q3</v>
      </c>
      <c r="V578" t="str">
        <f t="shared" si="36"/>
        <v>Completed</v>
      </c>
    </row>
    <row r="579" spans="1:22" x14ac:dyDescent="0.3">
      <c r="A579" s="2">
        <v>578</v>
      </c>
      <c r="B579" s="1">
        <v>46235</v>
      </c>
      <c r="C579" s="2" t="s">
        <v>5</v>
      </c>
      <c r="D579">
        <v>2213</v>
      </c>
      <c r="E579">
        <v>731</v>
      </c>
      <c r="F579">
        <v>3030</v>
      </c>
      <c r="G579">
        <v>1560</v>
      </c>
      <c r="H579">
        <v>1406</v>
      </c>
      <c r="I579">
        <v>0.38169805000000001</v>
      </c>
      <c r="J579">
        <v>0.52244478999999999</v>
      </c>
      <c r="K579">
        <v>1135</v>
      </c>
      <c r="L579">
        <v>1151</v>
      </c>
      <c r="M579" s="2">
        <v>8</v>
      </c>
      <c r="N579">
        <v>0.55690592800000005</v>
      </c>
      <c r="O579">
        <v>0.82117362199999999</v>
      </c>
      <c r="P579" t="b">
        <v>0</v>
      </c>
      <c r="Q579">
        <v>0.43070318899999999</v>
      </c>
      <c r="R579" s="2">
        <v>1</v>
      </c>
      <c r="S579" s="2" t="str">
        <f t="shared" si="37"/>
        <v>Aug</v>
      </c>
      <c r="T579">
        <f t="shared" si="38"/>
        <v>2026</v>
      </c>
      <c r="U579" s="2" t="str">
        <f t="shared" ref="U579:U642" si="39">"Q"&amp;ROUNDUP(MONTH(B579)/3,0)</f>
        <v>Q3</v>
      </c>
      <c r="V579" t="str">
        <f t="shared" si="36"/>
        <v>Completed</v>
      </c>
    </row>
    <row r="580" spans="1:22" x14ac:dyDescent="0.3">
      <c r="A580" s="2">
        <v>579</v>
      </c>
      <c r="B580" s="1">
        <v>46236</v>
      </c>
      <c r="C580" s="2" t="s">
        <v>5</v>
      </c>
      <c r="D580">
        <v>2694</v>
      </c>
      <c r="E580">
        <v>538</v>
      </c>
      <c r="F580">
        <v>2889</v>
      </c>
      <c r="G580">
        <v>823</v>
      </c>
      <c r="H580">
        <v>2412</v>
      </c>
      <c r="I580">
        <v>0.59208693199999995</v>
      </c>
      <c r="J580">
        <v>1.032895058</v>
      </c>
      <c r="K580">
        <v>885</v>
      </c>
      <c r="L580">
        <v>2592</v>
      </c>
      <c r="M580" s="2">
        <v>4</v>
      </c>
      <c r="N580">
        <v>0.93565354499999998</v>
      </c>
      <c r="O580">
        <v>0.84255320499999997</v>
      </c>
      <c r="P580" t="b">
        <v>0</v>
      </c>
      <c r="Q580">
        <v>0.52902698299999995</v>
      </c>
      <c r="R580" s="2">
        <v>1</v>
      </c>
      <c r="S580" s="2" t="str">
        <f t="shared" si="37"/>
        <v>Aug</v>
      </c>
      <c r="T580">
        <f t="shared" si="38"/>
        <v>2026</v>
      </c>
      <c r="U580" s="2" t="str">
        <f t="shared" si="39"/>
        <v>Q3</v>
      </c>
      <c r="V580" t="str">
        <f t="shared" ref="V580:V643" si="40">IF(R579=1,"Completed","Failed")</f>
        <v>Completed</v>
      </c>
    </row>
    <row r="581" spans="1:22" x14ac:dyDescent="0.3">
      <c r="A581" s="2">
        <v>580</v>
      </c>
      <c r="B581" s="1">
        <v>46237</v>
      </c>
      <c r="C581" s="2" t="s">
        <v>18</v>
      </c>
      <c r="D581">
        <v>4453</v>
      </c>
      <c r="E581">
        <v>3611</v>
      </c>
      <c r="F581">
        <v>3469</v>
      </c>
      <c r="G581">
        <v>1103</v>
      </c>
      <c r="H581">
        <v>2014</v>
      </c>
      <c r="I581">
        <v>0.55872812100000002</v>
      </c>
      <c r="J581">
        <v>2.844852495</v>
      </c>
      <c r="K581">
        <v>3764</v>
      </c>
      <c r="L581">
        <v>1042</v>
      </c>
      <c r="M581" s="2">
        <v>6</v>
      </c>
      <c r="N581">
        <v>0.69830545799999999</v>
      </c>
      <c r="O581">
        <v>0.94352675200000002</v>
      </c>
      <c r="P581" t="b">
        <v>0</v>
      </c>
      <c r="Q581">
        <v>0.88859362200000003</v>
      </c>
      <c r="R581" s="2">
        <v>1</v>
      </c>
      <c r="S581" s="2" t="str">
        <f t="shared" si="37"/>
        <v>Aug</v>
      </c>
      <c r="T581">
        <f t="shared" si="38"/>
        <v>2026</v>
      </c>
      <c r="U581" s="2" t="str">
        <f t="shared" si="39"/>
        <v>Q3</v>
      </c>
      <c r="V581" t="str">
        <f t="shared" si="40"/>
        <v>Completed</v>
      </c>
    </row>
    <row r="582" spans="1:22" x14ac:dyDescent="0.3">
      <c r="A582" s="2">
        <v>581</v>
      </c>
      <c r="B582" s="1">
        <v>46238</v>
      </c>
      <c r="C582" s="2" t="s">
        <v>17</v>
      </c>
      <c r="D582">
        <v>2492</v>
      </c>
      <c r="E582">
        <v>1480</v>
      </c>
      <c r="F582">
        <v>3202</v>
      </c>
      <c r="G582">
        <v>1313</v>
      </c>
      <c r="H582">
        <v>3853</v>
      </c>
      <c r="I582">
        <v>0.72455848899999997</v>
      </c>
      <c r="J582">
        <v>2.1047925200000002</v>
      </c>
      <c r="K582">
        <v>4931</v>
      </c>
      <c r="L582">
        <v>2884</v>
      </c>
      <c r="M582" s="2">
        <v>5</v>
      </c>
      <c r="N582">
        <v>0.94094462099999998</v>
      </c>
      <c r="O582">
        <v>0.84655542299999997</v>
      </c>
      <c r="P582" t="b">
        <v>0</v>
      </c>
      <c r="Q582">
        <v>0.48773507799999999</v>
      </c>
      <c r="R582" s="2">
        <v>0</v>
      </c>
      <c r="S582" s="2" t="str">
        <f t="shared" si="37"/>
        <v>Aug</v>
      </c>
      <c r="T582">
        <f t="shared" si="38"/>
        <v>2026</v>
      </c>
      <c r="U582" s="2" t="str">
        <f t="shared" si="39"/>
        <v>Q3</v>
      </c>
      <c r="V582" t="str">
        <f t="shared" si="40"/>
        <v>Completed</v>
      </c>
    </row>
    <row r="583" spans="1:22" x14ac:dyDescent="0.3">
      <c r="A583" s="2">
        <v>582</v>
      </c>
      <c r="B583" s="1">
        <v>46239</v>
      </c>
      <c r="C583" s="2" t="s">
        <v>17</v>
      </c>
      <c r="D583">
        <v>4279</v>
      </c>
      <c r="E583">
        <v>953</v>
      </c>
      <c r="F583">
        <v>632</v>
      </c>
      <c r="G583">
        <v>2851</v>
      </c>
      <c r="H583">
        <v>1017</v>
      </c>
      <c r="I583">
        <v>0.62925735100000002</v>
      </c>
      <c r="J583">
        <v>1.9362983330000001</v>
      </c>
      <c r="K583">
        <v>2468</v>
      </c>
      <c r="L583">
        <v>3962</v>
      </c>
      <c r="M583" s="2">
        <v>5</v>
      </c>
      <c r="N583">
        <v>0.76000419299999999</v>
      </c>
      <c r="O583">
        <v>0.943493523</v>
      </c>
      <c r="P583" t="b">
        <v>0</v>
      </c>
      <c r="Q583">
        <v>0.85302534799999996</v>
      </c>
      <c r="R583" s="2">
        <v>1</v>
      </c>
      <c r="S583" s="2" t="str">
        <f t="shared" si="37"/>
        <v>Aug</v>
      </c>
      <c r="T583">
        <f t="shared" si="38"/>
        <v>2026</v>
      </c>
      <c r="U583" s="2" t="str">
        <f t="shared" si="39"/>
        <v>Q3</v>
      </c>
      <c r="V583" t="str">
        <f t="shared" si="40"/>
        <v>Failed</v>
      </c>
    </row>
    <row r="584" spans="1:22" x14ac:dyDescent="0.3">
      <c r="A584" s="2">
        <v>583</v>
      </c>
      <c r="B584" s="1">
        <v>46240</v>
      </c>
      <c r="C584" s="2" t="s">
        <v>5</v>
      </c>
      <c r="D584">
        <v>1227</v>
      </c>
      <c r="E584">
        <v>3552</v>
      </c>
      <c r="F584">
        <v>406</v>
      </c>
      <c r="G584">
        <v>1533</v>
      </c>
      <c r="H584">
        <v>197</v>
      </c>
      <c r="I584">
        <v>0.21652054500000001</v>
      </c>
      <c r="J584">
        <v>2.1065355810000002</v>
      </c>
      <c r="K584">
        <v>628</v>
      </c>
      <c r="L584">
        <v>2784</v>
      </c>
      <c r="M584" s="2">
        <v>3</v>
      </c>
      <c r="N584">
        <v>1.783434272</v>
      </c>
      <c r="O584">
        <v>0.99761484700000003</v>
      </c>
      <c r="P584" t="b">
        <v>0</v>
      </c>
      <c r="Q584">
        <v>0.22914963199999999</v>
      </c>
      <c r="R584" s="2">
        <v>1</v>
      </c>
      <c r="S584" s="2" t="str">
        <f t="shared" si="37"/>
        <v>Aug</v>
      </c>
      <c r="T584">
        <f t="shared" si="38"/>
        <v>2026</v>
      </c>
      <c r="U584" s="2" t="str">
        <f t="shared" si="39"/>
        <v>Q3</v>
      </c>
      <c r="V584" t="str">
        <f t="shared" si="40"/>
        <v>Completed</v>
      </c>
    </row>
    <row r="585" spans="1:22" x14ac:dyDescent="0.3">
      <c r="A585" s="2">
        <v>584</v>
      </c>
      <c r="B585" s="1">
        <v>46241</v>
      </c>
      <c r="C585" s="2" t="s">
        <v>5</v>
      </c>
      <c r="D585">
        <v>165</v>
      </c>
      <c r="E585">
        <v>3116</v>
      </c>
      <c r="F585">
        <v>1648</v>
      </c>
      <c r="G585">
        <v>2136</v>
      </c>
      <c r="H585">
        <v>397</v>
      </c>
      <c r="I585">
        <v>0.775647431</v>
      </c>
      <c r="J585">
        <v>0.99623276299999997</v>
      </c>
      <c r="K585">
        <v>258</v>
      </c>
      <c r="L585">
        <v>1937</v>
      </c>
      <c r="M585" s="2">
        <v>1</v>
      </c>
      <c r="N585">
        <v>1.791254211</v>
      </c>
      <c r="O585">
        <v>0.84340148400000003</v>
      </c>
      <c r="P585" t="b">
        <v>0</v>
      </c>
      <c r="Q585">
        <v>1.2060507E-2</v>
      </c>
      <c r="R585" s="2">
        <v>1</v>
      </c>
      <c r="S585" s="2" t="str">
        <f t="shared" si="37"/>
        <v>Aug</v>
      </c>
      <c r="T585">
        <f t="shared" si="38"/>
        <v>2026</v>
      </c>
      <c r="U585" s="2" t="str">
        <f t="shared" si="39"/>
        <v>Q3</v>
      </c>
      <c r="V585" t="str">
        <f t="shared" si="40"/>
        <v>Completed</v>
      </c>
    </row>
    <row r="586" spans="1:22" x14ac:dyDescent="0.3">
      <c r="A586" s="2">
        <v>585</v>
      </c>
      <c r="B586" s="1">
        <v>46242</v>
      </c>
      <c r="C586" s="2" t="s">
        <v>18</v>
      </c>
      <c r="D586">
        <v>3684</v>
      </c>
      <c r="E586">
        <v>1180</v>
      </c>
      <c r="F586">
        <v>1540</v>
      </c>
      <c r="G586">
        <v>1561</v>
      </c>
      <c r="H586">
        <v>2277</v>
      </c>
      <c r="I586">
        <v>0.57435622900000005</v>
      </c>
      <c r="J586">
        <v>1.7690710599999999</v>
      </c>
      <c r="K586">
        <v>623</v>
      </c>
      <c r="L586">
        <v>3797</v>
      </c>
      <c r="M586" s="2">
        <v>3</v>
      </c>
      <c r="N586">
        <v>0.523864785</v>
      </c>
      <c r="O586">
        <v>0.97833964799999995</v>
      </c>
      <c r="P586" t="b">
        <v>0</v>
      </c>
      <c r="Q586">
        <v>0.73139820099999997</v>
      </c>
      <c r="R586" s="2">
        <v>1</v>
      </c>
      <c r="S586" s="2" t="str">
        <f t="shared" si="37"/>
        <v>Aug</v>
      </c>
      <c r="T586">
        <f t="shared" si="38"/>
        <v>2026</v>
      </c>
      <c r="U586" s="2" t="str">
        <f t="shared" si="39"/>
        <v>Q3</v>
      </c>
      <c r="V586" t="str">
        <f t="shared" si="40"/>
        <v>Completed</v>
      </c>
    </row>
    <row r="587" spans="1:22" x14ac:dyDescent="0.3">
      <c r="A587" s="2">
        <v>586</v>
      </c>
      <c r="B587" s="1">
        <v>46243</v>
      </c>
      <c r="C587" s="2" t="s">
        <v>5</v>
      </c>
      <c r="D587">
        <v>1896</v>
      </c>
      <c r="E587">
        <v>3867</v>
      </c>
      <c r="F587">
        <v>3201</v>
      </c>
      <c r="G587">
        <v>4445</v>
      </c>
      <c r="H587">
        <v>2140</v>
      </c>
      <c r="I587">
        <v>0.62587008899999996</v>
      </c>
      <c r="J587">
        <v>0.519188239</v>
      </c>
      <c r="K587">
        <v>3955</v>
      </c>
      <c r="L587">
        <v>1958</v>
      </c>
      <c r="M587" s="2">
        <v>1</v>
      </c>
      <c r="N587">
        <v>1.6310940519999999</v>
      </c>
      <c r="O587">
        <v>0.80109405</v>
      </c>
      <c r="P587" t="b">
        <v>0</v>
      </c>
      <c r="Q587">
        <v>0.36590351599999998</v>
      </c>
      <c r="R587" s="2">
        <v>1</v>
      </c>
      <c r="S587" s="2" t="str">
        <f t="shared" si="37"/>
        <v>Aug</v>
      </c>
      <c r="T587">
        <f t="shared" si="38"/>
        <v>2026</v>
      </c>
      <c r="U587" s="2" t="str">
        <f t="shared" si="39"/>
        <v>Q3</v>
      </c>
      <c r="V587" t="str">
        <f t="shared" si="40"/>
        <v>Completed</v>
      </c>
    </row>
    <row r="588" spans="1:22" x14ac:dyDescent="0.3">
      <c r="A588" s="2">
        <v>587</v>
      </c>
      <c r="B588" s="1">
        <v>46244</v>
      </c>
      <c r="C588" s="2" t="s">
        <v>16</v>
      </c>
      <c r="D588">
        <v>3319</v>
      </c>
      <c r="E588">
        <v>502</v>
      </c>
      <c r="F588">
        <v>2124</v>
      </c>
      <c r="G588">
        <v>4052</v>
      </c>
      <c r="H588">
        <v>564</v>
      </c>
      <c r="I588">
        <v>0.22175678099999999</v>
      </c>
      <c r="J588">
        <v>2.8039082469999999</v>
      </c>
      <c r="K588">
        <v>3800</v>
      </c>
      <c r="L588">
        <v>747</v>
      </c>
      <c r="M588" s="2">
        <v>4</v>
      </c>
      <c r="N588">
        <v>0.74255623299999995</v>
      </c>
      <c r="O588">
        <v>0.88046636199999995</v>
      </c>
      <c r="P588" t="b">
        <v>0</v>
      </c>
      <c r="Q588">
        <v>0.65678658999999995</v>
      </c>
      <c r="R588" s="2">
        <v>1</v>
      </c>
      <c r="S588" s="2" t="str">
        <f t="shared" si="37"/>
        <v>Aug</v>
      </c>
      <c r="T588">
        <f t="shared" si="38"/>
        <v>2026</v>
      </c>
      <c r="U588" s="2" t="str">
        <f t="shared" si="39"/>
        <v>Q3</v>
      </c>
      <c r="V588" t="str">
        <f t="shared" si="40"/>
        <v>Completed</v>
      </c>
    </row>
    <row r="589" spans="1:22" x14ac:dyDescent="0.3">
      <c r="A589" s="2">
        <v>588</v>
      </c>
      <c r="B589" s="1">
        <v>46245</v>
      </c>
      <c r="C589" s="2" t="s">
        <v>16</v>
      </c>
      <c r="D589">
        <v>3843</v>
      </c>
      <c r="E589">
        <v>621</v>
      </c>
      <c r="F589">
        <v>792</v>
      </c>
      <c r="G589">
        <v>2511</v>
      </c>
      <c r="H589">
        <v>1952</v>
      </c>
      <c r="I589">
        <v>0.22005528299999999</v>
      </c>
      <c r="J589">
        <v>2.1088558150000001</v>
      </c>
      <c r="K589">
        <v>3852</v>
      </c>
      <c r="L589">
        <v>532</v>
      </c>
      <c r="M589" s="2">
        <v>7</v>
      </c>
      <c r="N589">
        <v>0.93907466399999995</v>
      </c>
      <c r="O589">
        <v>0.88825273400000004</v>
      </c>
      <c r="P589" t="b">
        <v>0</v>
      </c>
      <c r="Q589">
        <v>0.76390024499999998</v>
      </c>
      <c r="R589" s="2">
        <v>1</v>
      </c>
      <c r="S589" s="2" t="str">
        <f t="shared" si="37"/>
        <v>Aug</v>
      </c>
      <c r="T589">
        <f t="shared" si="38"/>
        <v>2026</v>
      </c>
      <c r="U589" s="2" t="str">
        <f t="shared" si="39"/>
        <v>Q3</v>
      </c>
      <c r="V589" t="str">
        <f t="shared" si="40"/>
        <v>Completed</v>
      </c>
    </row>
    <row r="590" spans="1:22" x14ac:dyDescent="0.3">
      <c r="A590" s="2">
        <v>589</v>
      </c>
      <c r="B590" s="1">
        <v>46246</v>
      </c>
      <c r="C590" s="2" t="s">
        <v>17</v>
      </c>
      <c r="D590">
        <v>940</v>
      </c>
      <c r="E590">
        <v>511</v>
      </c>
      <c r="F590">
        <v>527</v>
      </c>
      <c r="G590">
        <v>2682</v>
      </c>
      <c r="H590">
        <v>2449</v>
      </c>
      <c r="I590">
        <v>0.39853735299999998</v>
      </c>
      <c r="J590">
        <v>2.013926852</v>
      </c>
      <c r="K590">
        <v>1469</v>
      </c>
      <c r="L590">
        <v>2040</v>
      </c>
      <c r="M590" s="2">
        <v>2</v>
      </c>
      <c r="N590">
        <v>1.7507545920000001</v>
      </c>
      <c r="O590">
        <v>0.87636311099999997</v>
      </c>
      <c r="P590" t="b">
        <v>0</v>
      </c>
      <c r="Q590">
        <v>0.17048242</v>
      </c>
      <c r="R590" s="2">
        <v>1</v>
      </c>
      <c r="S590" s="2" t="str">
        <f t="shared" si="37"/>
        <v>Aug</v>
      </c>
      <c r="T590">
        <f t="shared" si="38"/>
        <v>2026</v>
      </c>
      <c r="U590" s="2" t="str">
        <f t="shared" si="39"/>
        <v>Q3</v>
      </c>
      <c r="V590" t="str">
        <f t="shared" si="40"/>
        <v>Completed</v>
      </c>
    </row>
    <row r="591" spans="1:22" x14ac:dyDescent="0.3">
      <c r="A591" s="2">
        <v>590</v>
      </c>
      <c r="B591" s="1">
        <v>46247</v>
      </c>
      <c r="C591" s="2" t="s">
        <v>18</v>
      </c>
      <c r="D591">
        <v>2771</v>
      </c>
      <c r="E591">
        <v>619</v>
      </c>
      <c r="F591">
        <v>2200</v>
      </c>
      <c r="G591">
        <v>2263</v>
      </c>
      <c r="H591">
        <v>2691</v>
      </c>
      <c r="I591">
        <v>0.29436325899999999</v>
      </c>
      <c r="J591">
        <v>1.6863806699999999</v>
      </c>
      <c r="K591">
        <v>4579</v>
      </c>
      <c r="L591">
        <v>1710</v>
      </c>
      <c r="M591" s="2">
        <v>5</v>
      </c>
      <c r="N591">
        <v>1.665966125</v>
      </c>
      <c r="O591">
        <v>0.97054007200000003</v>
      </c>
      <c r="P591" t="b">
        <v>0</v>
      </c>
      <c r="Q591">
        <v>0.54476696599999996</v>
      </c>
      <c r="R591" s="2">
        <v>1</v>
      </c>
      <c r="S591" s="2" t="str">
        <f t="shared" si="37"/>
        <v>Aug</v>
      </c>
      <c r="T591">
        <f t="shared" si="38"/>
        <v>2026</v>
      </c>
      <c r="U591" s="2" t="str">
        <f t="shared" si="39"/>
        <v>Q3</v>
      </c>
      <c r="V591" t="str">
        <f t="shared" si="40"/>
        <v>Completed</v>
      </c>
    </row>
    <row r="592" spans="1:22" x14ac:dyDescent="0.3">
      <c r="A592" s="2">
        <v>591</v>
      </c>
      <c r="B592" s="1">
        <v>46248</v>
      </c>
      <c r="C592" s="2" t="s">
        <v>17</v>
      </c>
      <c r="D592">
        <v>827</v>
      </c>
      <c r="E592">
        <v>2229</v>
      </c>
      <c r="F592">
        <v>3730</v>
      </c>
      <c r="G592">
        <v>334</v>
      </c>
      <c r="H592">
        <v>1610</v>
      </c>
      <c r="I592">
        <v>0.36962260400000002</v>
      </c>
      <c r="J592">
        <v>1.8592515979999999</v>
      </c>
      <c r="K592">
        <v>152</v>
      </c>
      <c r="L592">
        <v>395</v>
      </c>
      <c r="M592" s="2">
        <v>6</v>
      </c>
      <c r="N592">
        <v>1.431071526</v>
      </c>
      <c r="O592">
        <v>0.97892844800000001</v>
      </c>
      <c r="P592" t="b">
        <v>0</v>
      </c>
      <c r="Q592">
        <v>0.14738348300000001</v>
      </c>
      <c r="R592" s="2">
        <v>1</v>
      </c>
      <c r="S592" s="2" t="str">
        <f t="shared" si="37"/>
        <v>Aug</v>
      </c>
      <c r="T592">
        <f t="shared" si="38"/>
        <v>2026</v>
      </c>
      <c r="U592" s="2" t="str">
        <f t="shared" si="39"/>
        <v>Q3</v>
      </c>
      <c r="V592" t="str">
        <f t="shared" si="40"/>
        <v>Completed</v>
      </c>
    </row>
    <row r="593" spans="1:22" x14ac:dyDescent="0.3">
      <c r="A593" s="2">
        <v>592</v>
      </c>
      <c r="B593" s="1">
        <v>46249</v>
      </c>
      <c r="C593" s="2" t="s">
        <v>17</v>
      </c>
      <c r="D593">
        <v>4532</v>
      </c>
      <c r="E593">
        <v>2418</v>
      </c>
      <c r="F593">
        <v>3068</v>
      </c>
      <c r="G593">
        <v>1091</v>
      </c>
      <c r="H593">
        <v>2952</v>
      </c>
      <c r="I593">
        <v>0.46584994800000001</v>
      </c>
      <c r="J593">
        <v>1.9898430300000001</v>
      </c>
      <c r="K593">
        <v>2500</v>
      </c>
      <c r="L593">
        <v>2547</v>
      </c>
      <c r="M593" s="2">
        <v>3</v>
      </c>
      <c r="N593">
        <v>1.4861047469999999</v>
      </c>
      <c r="O593">
        <v>0.83741756899999997</v>
      </c>
      <c r="P593" t="b">
        <v>0</v>
      </c>
      <c r="Q593">
        <v>0.90474243700000001</v>
      </c>
      <c r="R593" s="2">
        <v>1</v>
      </c>
      <c r="S593" s="2" t="str">
        <f t="shared" si="37"/>
        <v>Aug</v>
      </c>
      <c r="T593">
        <f t="shared" si="38"/>
        <v>2026</v>
      </c>
      <c r="U593" s="2" t="str">
        <f t="shared" si="39"/>
        <v>Q3</v>
      </c>
      <c r="V593" t="str">
        <f t="shared" si="40"/>
        <v>Completed</v>
      </c>
    </row>
    <row r="594" spans="1:22" x14ac:dyDescent="0.3">
      <c r="A594" s="2">
        <v>593</v>
      </c>
      <c r="B594" s="1">
        <v>46250</v>
      </c>
      <c r="C594" s="2" t="s">
        <v>17</v>
      </c>
      <c r="D594">
        <v>1216</v>
      </c>
      <c r="E594">
        <v>3468</v>
      </c>
      <c r="F594">
        <v>3892</v>
      </c>
      <c r="G594">
        <v>1310</v>
      </c>
      <c r="H594">
        <v>956</v>
      </c>
      <c r="I594">
        <v>0.30843002200000003</v>
      </c>
      <c r="J594">
        <v>1.095998716</v>
      </c>
      <c r="K594">
        <v>3924</v>
      </c>
      <c r="L594">
        <v>3045</v>
      </c>
      <c r="M594" s="2">
        <v>3</v>
      </c>
      <c r="N594">
        <v>0.87334287300000002</v>
      </c>
      <c r="O594">
        <v>0.96161169300000005</v>
      </c>
      <c r="P594" t="b">
        <v>0</v>
      </c>
      <c r="Q594">
        <v>0.22690106299999999</v>
      </c>
      <c r="R594" s="2">
        <v>1</v>
      </c>
      <c r="S594" s="2" t="str">
        <f t="shared" si="37"/>
        <v>Aug</v>
      </c>
      <c r="T594">
        <f t="shared" si="38"/>
        <v>2026</v>
      </c>
      <c r="U594" s="2" t="str">
        <f t="shared" si="39"/>
        <v>Q3</v>
      </c>
      <c r="V594" t="str">
        <f t="shared" si="40"/>
        <v>Completed</v>
      </c>
    </row>
    <row r="595" spans="1:22" x14ac:dyDescent="0.3">
      <c r="A595" s="2">
        <v>594</v>
      </c>
      <c r="B595" s="1">
        <v>46251</v>
      </c>
      <c r="C595" s="2" t="s">
        <v>16</v>
      </c>
      <c r="D595">
        <v>621</v>
      </c>
      <c r="E595">
        <v>1370</v>
      </c>
      <c r="F595">
        <v>2235</v>
      </c>
      <c r="G595">
        <v>2283</v>
      </c>
      <c r="H595">
        <v>807</v>
      </c>
      <c r="I595">
        <v>0.58702407099999998</v>
      </c>
      <c r="J595">
        <v>1.6634986140000001</v>
      </c>
      <c r="K595">
        <v>3759</v>
      </c>
      <c r="L595">
        <v>3656</v>
      </c>
      <c r="M595" s="2">
        <v>7</v>
      </c>
      <c r="N595">
        <v>1.771139671</v>
      </c>
      <c r="O595">
        <v>0.87731445299999999</v>
      </c>
      <c r="P595" t="b">
        <v>0</v>
      </c>
      <c r="Q595">
        <v>0.10527391699999999</v>
      </c>
      <c r="R595" s="2">
        <v>1</v>
      </c>
      <c r="S595" s="2" t="str">
        <f t="shared" si="37"/>
        <v>Aug</v>
      </c>
      <c r="T595">
        <f t="shared" si="38"/>
        <v>2026</v>
      </c>
      <c r="U595" s="2" t="str">
        <f t="shared" si="39"/>
        <v>Q3</v>
      </c>
      <c r="V595" t="str">
        <f t="shared" si="40"/>
        <v>Completed</v>
      </c>
    </row>
    <row r="596" spans="1:22" x14ac:dyDescent="0.3">
      <c r="A596" s="2">
        <v>595</v>
      </c>
      <c r="B596" s="1">
        <v>46252</v>
      </c>
      <c r="C596" s="2" t="s">
        <v>16</v>
      </c>
      <c r="D596">
        <v>1824</v>
      </c>
      <c r="E596">
        <v>1919</v>
      </c>
      <c r="F596">
        <v>1199</v>
      </c>
      <c r="G596">
        <v>581</v>
      </c>
      <c r="H596">
        <v>1728</v>
      </c>
      <c r="I596">
        <v>0.72689864599999998</v>
      </c>
      <c r="J596">
        <v>1.762515627</v>
      </c>
      <c r="K596">
        <v>2306</v>
      </c>
      <c r="L596">
        <v>1311</v>
      </c>
      <c r="M596" s="2">
        <v>5</v>
      </c>
      <c r="N596">
        <v>1.2687906149999999</v>
      </c>
      <c r="O596">
        <v>0.99993442399999999</v>
      </c>
      <c r="P596" t="b">
        <v>0</v>
      </c>
      <c r="Q596">
        <v>0.35118560900000001</v>
      </c>
      <c r="R596" s="2">
        <v>1</v>
      </c>
      <c r="S596" s="2" t="str">
        <f t="shared" si="37"/>
        <v>Aug</v>
      </c>
      <c r="T596">
        <f t="shared" si="38"/>
        <v>2026</v>
      </c>
      <c r="U596" s="2" t="str">
        <f t="shared" si="39"/>
        <v>Q3</v>
      </c>
      <c r="V596" t="str">
        <f t="shared" si="40"/>
        <v>Completed</v>
      </c>
    </row>
    <row r="597" spans="1:22" x14ac:dyDescent="0.3">
      <c r="A597" s="2">
        <v>596</v>
      </c>
      <c r="B597" s="1">
        <v>46253</v>
      </c>
      <c r="C597" s="2" t="s">
        <v>16</v>
      </c>
      <c r="D597">
        <v>2160</v>
      </c>
      <c r="E597">
        <v>2484</v>
      </c>
      <c r="F597">
        <v>3390</v>
      </c>
      <c r="G597">
        <v>4445</v>
      </c>
      <c r="H597">
        <v>525</v>
      </c>
      <c r="I597">
        <v>0.33864945899999999</v>
      </c>
      <c r="J597">
        <v>1.5148129340000001</v>
      </c>
      <c r="K597">
        <v>2674</v>
      </c>
      <c r="L597">
        <v>1182</v>
      </c>
      <c r="M597" s="2">
        <v>6</v>
      </c>
      <c r="N597">
        <v>1.9904222920000001</v>
      </c>
      <c r="O597">
        <v>0.99650543599999997</v>
      </c>
      <c r="P597" t="b">
        <v>0</v>
      </c>
      <c r="Q597">
        <v>0.41986917400000001</v>
      </c>
      <c r="R597" s="2">
        <v>1</v>
      </c>
      <c r="S597" s="2" t="str">
        <f t="shared" si="37"/>
        <v>Aug</v>
      </c>
      <c r="T597">
        <f t="shared" si="38"/>
        <v>2026</v>
      </c>
      <c r="U597" s="2" t="str">
        <f t="shared" si="39"/>
        <v>Q3</v>
      </c>
      <c r="V597" t="str">
        <f t="shared" si="40"/>
        <v>Completed</v>
      </c>
    </row>
    <row r="598" spans="1:22" x14ac:dyDescent="0.3">
      <c r="A598" s="2">
        <v>597</v>
      </c>
      <c r="B598" s="1">
        <v>46254</v>
      </c>
      <c r="C598" s="2" t="s">
        <v>18</v>
      </c>
      <c r="D598">
        <v>2430</v>
      </c>
      <c r="E598">
        <v>1273</v>
      </c>
      <c r="F598">
        <v>3717</v>
      </c>
      <c r="G598">
        <v>2908</v>
      </c>
      <c r="H598">
        <v>3778</v>
      </c>
      <c r="I598">
        <v>0.43670553899999998</v>
      </c>
      <c r="J598">
        <v>2.058033655</v>
      </c>
      <c r="K598">
        <v>3004</v>
      </c>
      <c r="L598">
        <v>1618</v>
      </c>
      <c r="M598" s="2">
        <v>4</v>
      </c>
      <c r="N598">
        <v>1.965071309</v>
      </c>
      <c r="O598">
        <v>0.97387328200000001</v>
      </c>
      <c r="P598" t="b">
        <v>0</v>
      </c>
      <c r="Q598">
        <v>0.47506132499999998</v>
      </c>
      <c r="R598" s="2">
        <v>1</v>
      </c>
      <c r="S598" s="2" t="str">
        <f t="shared" si="37"/>
        <v>Aug</v>
      </c>
      <c r="T598">
        <f t="shared" si="38"/>
        <v>2026</v>
      </c>
      <c r="U598" s="2" t="str">
        <f t="shared" si="39"/>
        <v>Q3</v>
      </c>
      <c r="V598" t="str">
        <f t="shared" si="40"/>
        <v>Completed</v>
      </c>
    </row>
    <row r="599" spans="1:22" x14ac:dyDescent="0.3">
      <c r="A599" s="2">
        <v>598</v>
      </c>
      <c r="B599" s="1">
        <v>46255</v>
      </c>
      <c r="C599" s="2" t="s">
        <v>16</v>
      </c>
      <c r="D599">
        <v>1672</v>
      </c>
      <c r="E599">
        <v>4461</v>
      </c>
      <c r="F599">
        <v>722</v>
      </c>
      <c r="G599">
        <v>2876</v>
      </c>
      <c r="H599">
        <v>1109</v>
      </c>
      <c r="I599">
        <v>0.76253167499999996</v>
      </c>
      <c r="J599">
        <v>2.5992368940000001</v>
      </c>
      <c r="K599">
        <v>763</v>
      </c>
      <c r="L599">
        <v>543</v>
      </c>
      <c r="M599" s="2">
        <v>9</v>
      </c>
      <c r="N599">
        <v>1.065325877</v>
      </c>
      <c r="O599">
        <v>0.93480410400000002</v>
      </c>
      <c r="P599" t="b">
        <v>1</v>
      </c>
      <c r="Q599">
        <v>0.32011447300000001</v>
      </c>
      <c r="R599" s="2">
        <v>1</v>
      </c>
      <c r="S599" s="2" t="str">
        <f t="shared" si="37"/>
        <v>Aug</v>
      </c>
      <c r="T599">
        <f t="shared" si="38"/>
        <v>2026</v>
      </c>
      <c r="U599" s="2" t="str">
        <f t="shared" si="39"/>
        <v>Q3</v>
      </c>
      <c r="V599" t="str">
        <f t="shared" si="40"/>
        <v>Completed</v>
      </c>
    </row>
    <row r="600" spans="1:22" x14ac:dyDescent="0.3">
      <c r="A600" s="2">
        <v>599</v>
      </c>
      <c r="B600" s="1">
        <v>46256</v>
      </c>
      <c r="C600" s="2" t="s">
        <v>5</v>
      </c>
      <c r="D600">
        <v>1235</v>
      </c>
      <c r="E600">
        <v>2913</v>
      </c>
      <c r="F600">
        <v>991</v>
      </c>
      <c r="G600">
        <v>3657</v>
      </c>
      <c r="H600">
        <v>3025</v>
      </c>
      <c r="I600">
        <v>0.36547013099999998</v>
      </c>
      <c r="J600">
        <v>2.5293800580000001</v>
      </c>
      <c r="K600">
        <v>4351</v>
      </c>
      <c r="L600">
        <v>1357</v>
      </c>
      <c r="M600" s="2">
        <v>6</v>
      </c>
      <c r="N600">
        <v>0.90407035000000002</v>
      </c>
      <c r="O600">
        <v>0.84186145999999995</v>
      </c>
      <c r="P600" t="b">
        <v>0</v>
      </c>
      <c r="Q600">
        <v>0.23078495500000001</v>
      </c>
      <c r="R600" s="2">
        <v>1</v>
      </c>
      <c r="S600" s="2" t="str">
        <f t="shared" si="37"/>
        <v>Aug</v>
      </c>
      <c r="T600">
        <f t="shared" si="38"/>
        <v>2026</v>
      </c>
      <c r="U600" s="2" t="str">
        <f t="shared" si="39"/>
        <v>Q3</v>
      </c>
      <c r="V600" t="str">
        <f t="shared" si="40"/>
        <v>Completed</v>
      </c>
    </row>
    <row r="601" spans="1:22" x14ac:dyDescent="0.3">
      <c r="A601" s="2">
        <v>600</v>
      </c>
      <c r="B601" s="1">
        <v>46257</v>
      </c>
      <c r="C601" s="2" t="s">
        <v>16</v>
      </c>
      <c r="D601">
        <v>2359</v>
      </c>
      <c r="E601">
        <v>618</v>
      </c>
      <c r="F601">
        <v>3107</v>
      </c>
      <c r="G601">
        <v>1724</v>
      </c>
      <c r="H601">
        <v>2723</v>
      </c>
      <c r="I601">
        <v>0.66929185499999999</v>
      </c>
      <c r="J601">
        <v>2.5306979310000002</v>
      </c>
      <c r="K601">
        <v>4176</v>
      </c>
      <c r="L601">
        <v>2757</v>
      </c>
      <c r="M601" s="2">
        <v>3</v>
      </c>
      <c r="N601">
        <v>1.0198673309999999</v>
      </c>
      <c r="O601">
        <v>0.81970009300000002</v>
      </c>
      <c r="P601" t="b">
        <v>0</v>
      </c>
      <c r="Q601">
        <v>0.46054783300000002</v>
      </c>
      <c r="R601" s="2">
        <v>1</v>
      </c>
      <c r="S601" s="2" t="str">
        <f t="shared" si="37"/>
        <v>Aug</v>
      </c>
      <c r="T601">
        <f t="shared" si="38"/>
        <v>2026</v>
      </c>
      <c r="U601" s="2" t="str">
        <f t="shared" si="39"/>
        <v>Q3</v>
      </c>
      <c r="V601" t="str">
        <f t="shared" si="40"/>
        <v>Completed</v>
      </c>
    </row>
    <row r="602" spans="1:22" x14ac:dyDescent="0.3">
      <c r="A602" s="2">
        <v>601</v>
      </c>
      <c r="B602" s="1">
        <v>46258</v>
      </c>
      <c r="C602" s="2" t="s">
        <v>18</v>
      </c>
      <c r="D602">
        <v>4230</v>
      </c>
      <c r="E602">
        <v>4305</v>
      </c>
      <c r="F602">
        <v>3632</v>
      </c>
      <c r="G602">
        <v>1832</v>
      </c>
      <c r="H602">
        <v>2748</v>
      </c>
      <c r="I602">
        <v>0.330403112</v>
      </c>
      <c r="J602">
        <v>1.956301042</v>
      </c>
      <c r="K602">
        <v>612</v>
      </c>
      <c r="L602">
        <v>2145</v>
      </c>
      <c r="M602" s="2">
        <v>2</v>
      </c>
      <c r="N602">
        <v>0.53056709300000005</v>
      </c>
      <c r="O602">
        <v>0.93060529000000003</v>
      </c>
      <c r="P602" t="b">
        <v>0</v>
      </c>
      <c r="Q602">
        <v>0.84300899399999996</v>
      </c>
      <c r="R602" s="2">
        <v>1</v>
      </c>
      <c r="S602" s="2" t="str">
        <f t="shared" si="37"/>
        <v>Aug</v>
      </c>
      <c r="T602">
        <f t="shared" si="38"/>
        <v>2026</v>
      </c>
      <c r="U602" s="2" t="str">
        <f t="shared" si="39"/>
        <v>Q3</v>
      </c>
      <c r="V602" t="str">
        <f t="shared" si="40"/>
        <v>Completed</v>
      </c>
    </row>
    <row r="603" spans="1:22" x14ac:dyDescent="0.3">
      <c r="A603" s="2">
        <v>602</v>
      </c>
      <c r="B603" s="1">
        <v>46259</v>
      </c>
      <c r="C603" s="2" t="s">
        <v>5</v>
      </c>
      <c r="D603">
        <v>776</v>
      </c>
      <c r="E603">
        <v>4421</v>
      </c>
      <c r="F603">
        <v>1681</v>
      </c>
      <c r="G603">
        <v>2027</v>
      </c>
      <c r="H603">
        <v>3739</v>
      </c>
      <c r="I603">
        <v>0.44877379000000001</v>
      </c>
      <c r="J603">
        <v>1.772041084</v>
      </c>
      <c r="K603">
        <v>2472</v>
      </c>
      <c r="L603">
        <v>2784</v>
      </c>
      <c r="M603" s="2">
        <v>7</v>
      </c>
      <c r="N603">
        <v>1.916615524</v>
      </c>
      <c r="O603">
        <v>0.90518768400000005</v>
      </c>
      <c r="P603" t="b">
        <v>0</v>
      </c>
      <c r="Q603">
        <v>0.13695829900000001</v>
      </c>
      <c r="R603" s="2">
        <v>1</v>
      </c>
      <c r="S603" s="2" t="str">
        <f t="shared" si="37"/>
        <v>Aug</v>
      </c>
      <c r="T603">
        <f t="shared" si="38"/>
        <v>2026</v>
      </c>
      <c r="U603" s="2" t="str">
        <f t="shared" si="39"/>
        <v>Q3</v>
      </c>
      <c r="V603" t="str">
        <f t="shared" si="40"/>
        <v>Completed</v>
      </c>
    </row>
    <row r="604" spans="1:22" x14ac:dyDescent="0.3">
      <c r="A604" s="2">
        <v>603</v>
      </c>
      <c r="B604" s="1">
        <v>46260</v>
      </c>
      <c r="C604" s="2" t="s">
        <v>16</v>
      </c>
      <c r="D604">
        <v>2038</v>
      </c>
      <c r="E604">
        <v>2369</v>
      </c>
      <c r="F604">
        <v>961</v>
      </c>
      <c r="G604">
        <v>4059</v>
      </c>
      <c r="H604">
        <v>1739</v>
      </c>
      <c r="I604">
        <v>0.70765583600000004</v>
      </c>
      <c r="J604">
        <v>1.2427700290000001</v>
      </c>
      <c r="K604">
        <v>485</v>
      </c>
      <c r="L604">
        <v>498</v>
      </c>
      <c r="M604" s="2">
        <v>1</v>
      </c>
      <c r="N604">
        <v>1.8343969410000001</v>
      </c>
      <c r="O604">
        <v>0.90853891899999994</v>
      </c>
      <c r="P604" t="b">
        <v>0</v>
      </c>
      <c r="Q604">
        <v>0.39493049899999999</v>
      </c>
      <c r="R604" s="2">
        <v>1</v>
      </c>
      <c r="S604" s="2" t="str">
        <f t="shared" si="37"/>
        <v>Aug</v>
      </c>
      <c r="T604">
        <f t="shared" si="38"/>
        <v>2026</v>
      </c>
      <c r="U604" s="2" t="str">
        <f t="shared" si="39"/>
        <v>Q3</v>
      </c>
      <c r="V604" t="str">
        <f t="shared" si="40"/>
        <v>Completed</v>
      </c>
    </row>
    <row r="605" spans="1:22" x14ac:dyDescent="0.3">
      <c r="A605" s="2">
        <v>604</v>
      </c>
      <c r="B605" s="1">
        <v>46261</v>
      </c>
      <c r="C605" s="2" t="s">
        <v>16</v>
      </c>
      <c r="D605">
        <v>2108</v>
      </c>
      <c r="E605">
        <v>509</v>
      </c>
      <c r="F605">
        <v>3664</v>
      </c>
      <c r="G605">
        <v>629</v>
      </c>
      <c r="H605">
        <v>304</v>
      </c>
      <c r="I605">
        <v>0.40377778399999997</v>
      </c>
      <c r="J605">
        <v>2.0201134650000001</v>
      </c>
      <c r="K605">
        <v>3206</v>
      </c>
      <c r="L605">
        <v>3027</v>
      </c>
      <c r="M605" s="2">
        <v>9</v>
      </c>
      <c r="N605">
        <v>1.3760991060000001</v>
      </c>
      <c r="O605">
        <v>0.99855786300000005</v>
      </c>
      <c r="P605" t="b">
        <v>0</v>
      </c>
      <c r="Q605">
        <v>0.40923957500000002</v>
      </c>
      <c r="R605" s="2">
        <v>1</v>
      </c>
      <c r="S605" s="2" t="str">
        <f t="shared" si="37"/>
        <v>Aug</v>
      </c>
      <c r="T605">
        <f t="shared" si="38"/>
        <v>2026</v>
      </c>
      <c r="U605" s="2" t="str">
        <f t="shared" si="39"/>
        <v>Q3</v>
      </c>
      <c r="V605" t="str">
        <f t="shared" si="40"/>
        <v>Completed</v>
      </c>
    </row>
    <row r="606" spans="1:22" x14ac:dyDescent="0.3">
      <c r="A606" s="2">
        <v>605</v>
      </c>
      <c r="B606" s="1">
        <v>46262</v>
      </c>
      <c r="C606" s="2" t="s">
        <v>5</v>
      </c>
      <c r="D606">
        <v>685</v>
      </c>
      <c r="E606">
        <v>1525</v>
      </c>
      <c r="F606">
        <v>1962</v>
      </c>
      <c r="G606">
        <v>347</v>
      </c>
      <c r="H606">
        <v>3588</v>
      </c>
      <c r="I606">
        <v>0.73042289000000005</v>
      </c>
      <c r="J606">
        <v>1.951945574</v>
      </c>
      <c r="K606">
        <v>4817</v>
      </c>
      <c r="L606">
        <v>1099</v>
      </c>
      <c r="M606" s="2">
        <v>9</v>
      </c>
      <c r="N606">
        <v>0.81425018199999999</v>
      </c>
      <c r="O606">
        <v>0.954083915</v>
      </c>
      <c r="P606" t="b">
        <v>0</v>
      </c>
      <c r="Q606">
        <v>0.1183565</v>
      </c>
      <c r="R606" s="2">
        <v>0</v>
      </c>
      <c r="S606" s="2" t="str">
        <f t="shared" si="37"/>
        <v>Aug</v>
      </c>
      <c r="T606">
        <f t="shared" si="38"/>
        <v>2026</v>
      </c>
      <c r="U606" s="2" t="str">
        <f t="shared" si="39"/>
        <v>Q3</v>
      </c>
      <c r="V606" t="str">
        <f t="shared" si="40"/>
        <v>Completed</v>
      </c>
    </row>
    <row r="607" spans="1:22" x14ac:dyDescent="0.3">
      <c r="A607" s="2">
        <v>606</v>
      </c>
      <c r="B607" s="1">
        <v>46263</v>
      </c>
      <c r="C607" s="2" t="s">
        <v>18</v>
      </c>
      <c r="D607">
        <v>3476</v>
      </c>
      <c r="E607">
        <v>3924</v>
      </c>
      <c r="F607">
        <v>1252</v>
      </c>
      <c r="G607">
        <v>3778</v>
      </c>
      <c r="H607">
        <v>3831</v>
      </c>
      <c r="I607">
        <v>0.50374501100000002</v>
      </c>
      <c r="J607">
        <v>1.451036598</v>
      </c>
      <c r="K607">
        <v>1972</v>
      </c>
      <c r="L607">
        <v>962</v>
      </c>
      <c r="M607" s="2">
        <v>4</v>
      </c>
      <c r="N607">
        <v>0.62521166299999997</v>
      </c>
      <c r="O607">
        <v>0.95943798000000002</v>
      </c>
      <c r="P607" t="b">
        <v>0</v>
      </c>
      <c r="Q607">
        <v>0.68887980400000004</v>
      </c>
      <c r="R607" s="2">
        <v>1</v>
      </c>
      <c r="S607" s="2" t="str">
        <f t="shared" si="37"/>
        <v>Aug</v>
      </c>
      <c r="T607">
        <f t="shared" si="38"/>
        <v>2026</v>
      </c>
      <c r="U607" s="2" t="str">
        <f t="shared" si="39"/>
        <v>Q3</v>
      </c>
      <c r="V607" t="str">
        <f t="shared" si="40"/>
        <v>Failed</v>
      </c>
    </row>
    <row r="608" spans="1:22" x14ac:dyDescent="0.3">
      <c r="A608" s="2">
        <v>607</v>
      </c>
      <c r="B608" s="1">
        <v>46264</v>
      </c>
      <c r="C608" s="2" t="s">
        <v>16</v>
      </c>
      <c r="D608">
        <v>3316</v>
      </c>
      <c r="E608">
        <v>2787</v>
      </c>
      <c r="F608">
        <v>3150</v>
      </c>
      <c r="G608">
        <v>3727</v>
      </c>
      <c r="H608">
        <v>455</v>
      </c>
      <c r="I608">
        <v>0.59905542899999997</v>
      </c>
      <c r="J608">
        <v>0.68030149699999998</v>
      </c>
      <c r="K608">
        <v>4159</v>
      </c>
      <c r="L608">
        <v>2565</v>
      </c>
      <c r="M608" s="2">
        <v>7</v>
      </c>
      <c r="N608">
        <v>1.1321782140000001</v>
      </c>
      <c r="O608">
        <v>0.824519856</v>
      </c>
      <c r="P608" t="b">
        <v>0</v>
      </c>
      <c r="Q608">
        <v>0.65617334400000005</v>
      </c>
      <c r="R608" s="2">
        <v>1</v>
      </c>
      <c r="S608" s="2" t="str">
        <f t="shared" si="37"/>
        <v>Aug</v>
      </c>
      <c r="T608">
        <f t="shared" si="38"/>
        <v>2026</v>
      </c>
      <c r="U608" s="2" t="str">
        <f t="shared" si="39"/>
        <v>Q3</v>
      </c>
      <c r="V608" t="str">
        <f t="shared" si="40"/>
        <v>Completed</v>
      </c>
    </row>
    <row r="609" spans="1:22" x14ac:dyDescent="0.3">
      <c r="A609" s="2">
        <v>608</v>
      </c>
      <c r="B609" s="1">
        <v>46265</v>
      </c>
      <c r="C609" s="2" t="s">
        <v>17</v>
      </c>
      <c r="D609">
        <v>2548</v>
      </c>
      <c r="E609">
        <v>2033</v>
      </c>
      <c r="F609">
        <v>2608</v>
      </c>
      <c r="G609">
        <v>3481</v>
      </c>
      <c r="H609">
        <v>3220</v>
      </c>
      <c r="I609">
        <v>0.43385078700000002</v>
      </c>
      <c r="J609">
        <v>2.1116040489999999</v>
      </c>
      <c r="K609">
        <v>4431</v>
      </c>
      <c r="L609">
        <v>1285</v>
      </c>
      <c r="M609" s="2">
        <v>9</v>
      </c>
      <c r="N609">
        <v>0.54042898399999995</v>
      </c>
      <c r="O609">
        <v>0.95798149499999996</v>
      </c>
      <c r="P609" t="b">
        <v>0</v>
      </c>
      <c r="Q609">
        <v>0.49918233899999997</v>
      </c>
      <c r="R609" s="2">
        <v>1</v>
      </c>
      <c r="S609" s="2" t="str">
        <f t="shared" si="37"/>
        <v>Aug</v>
      </c>
      <c r="T609">
        <f t="shared" si="38"/>
        <v>2026</v>
      </c>
      <c r="U609" s="2" t="str">
        <f t="shared" si="39"/>
        <v>Q3</v>
      </c>
      <c r="V609" t="str">
        <f t="shared" si="40"/>
        <v>Completed</v>
      </c>
    </row>
    <row r="610" spans="1:22" x14ac:dyDescent="0.3">
      <c r="A610" s="2">
        <v>609</v>
      </c>
      <c r="B610" s="1">
        <v>46266</v>
      </c>
      <c r="C610" s="2" t="s">
        <v>17</v>
      </c>
      <c r="D610">
        <v>2456</v>
      </c>
      <c r="E610">
        <v>956</v>
      </c>
      <c r="F610">
        <v>3261</v>
      </c>
      <c r="G610">
        <v>1941</v>
      </c>
      <c r="H610">
        <v>2355</v>
      </c>
      <c r="I610">
        <v>0.47841508399999999</v>
      </c>
      <c r="J610">
        <v>1.310442401</v>
      </c>
      <c r="K610">
        <v>122</v>
      </c>
      <c r="L610">
        <v>452</v>
      </c>
      <c r="M610" s="2">
        <v>2</v>
      </c>
      <c r="N610">
        <v>0.61763258799999998</v>
      </c>
      <c r="O610">
        <v>0.85665614899999998</v>
      </c>
      <c r="P610" t="b">
        <v>0</v>
      </c>
      <c r="Q610">
        <v>0.48037612400000002</v>
      </c>
      <c r="R610" s="2">
        <v>1</v>
      </c>
      <c r="S610" s="2" t="str">
        <f t="shared" si="37"/>
        <v>Sep</v>
      </c>
      <c r="T610">
        <f t="shared" si="38"/>
        <v>2026</v>
      </c>
      <c r="U610" s="2" t="str">
        <f t="shared" si="39"/>
        <v>Q3</v>
      </c>
      <c r="V610" t="str">
        <f t="shared" si="40"/>
        <v>Completed</v>
      </c>
    </row>
    <row r="611" spans="1:22" x14ac:dyDescent="0.3">
      <c r="A611" s="2">
        <v>610</v>
      </c>
      <c r="B611" s="1">
        <v>46267</v>
      </c>
      <c r="C611" s="2" t="s">
        <v>5</v>
      </c>
      <c r="D611">
        <v>2679</v>
      </c>
      <c r="E611">
        <v>887</v>
      </c>
      <c r="F611">
        <v>2792</v>
      </c>
      <c r="G611">
        <v>3218</v>
      </c>
      <c r="H611">
        <v>3953</v>
      </c>
      <c r="I611">
        <v>0.49762537299999998</v>
      </c>
      <c r="J611">
        <v>1.464722466</v>
      </c>
      <c r="K611">
        <v>2869</v>
      </c>
      <c r="L611">
        <v>3528</v>
      </c>
      <c r="M611" s="2">
        <v>3</v>
      </c>
      <c r="N611">
        <v>1.428827326</v>
      </c>
      <c r="O611">
        <v>0.97358413899999996</v>
      </c>
      <c r="P611" t="b">
        <v>0</v>
      </c>
      <c r="Q611">
        <v>0.52596075200000003</v>
      </c>
      <c r="R611" s="2">
        <v>1</v>
      </c>
      <c r="S611" s="2" t="str">
        <f t="shared" si="37"/>
        <v>Sep</v>
      </c>
      <c r="T611">
        <f t="shared" si="38"/>
        <v>2026</v>
      </c>
      <c r="U611" s="2" t="str">
        <f t="shared" si="39"/>
        <v>Q3</v>
      </c>
      <c r="V611" t="str">
        <f t="shared" si="40"/>
        <v>Completed</v>
      </c>
    </row>
    <row r="612" spans="1:22" x14ac:dyDescent="0.3">
      <c r="A612" s="2">
        <v>611</v>
      </c>
      <c r="B612" s="1">
        <v>46268</v>
      </c>
      <c r="C612" s="2" t="s">
        <v>16</v>
      </c>
      <c r="D612">
        <v>4597</v>
      </c>
      <c r="E612">
        <v>3387</v>
      </c>
      <c r="F612">
        <v>1800</v>
      </c>
      <c r="G612">
        <v>2270</v>
      </c>
      <c r="H612">
        <v>334</v>
      </c>
      <c r="I612">
        <v>0.540403572</v>
      </c>
      <c r="J612">
        <v>2.8510944540000001</v>
      </c>
      <c r="K612">
        <v>1830</v>
      </c>
      <c r="L612">
        <v>1928</v>
      </c>
      <c r="M612" s="2">
        <v>8</v>
      </c>
      <c r="N612">
        <v>1.4114544330000001</v>
      </c>
      <c r="O612">
        <v>0.89432789800000001</v>
      </c>
      <c r="P612" t="b">
        <v>0</v>
      </c>
      <c r="Q612">
        <v>0.91802943599999998</v>
      </c>
      <c r="R612" s="2">
        <v>1</v>
      </c>
      <c r="S612" s="2" t="str">
        <f t="shared" si="37"/>
        <v>Sep</v>
      </c>
      <c r="T612">
        <f t="shared" si="38"/>
        <v>2026</v>
      </c>
      <c r="U612" s="2" t="str">
        <f t="shared" si="39"/>
        <v>Q3</v>
      </c>
      <c r="V612" t="str">
        <f t="shared" si="40"/>
        <v>Completed</v>
      </c>
    </row>
    <row r="613" spans="1:22" x14ac:dyDescent="0.3">
      <c r="A613" s="2">
        <v>612</v>
      </c>
      <c r="B613" s="1">
        <v>46269</v>
      </c>
      <c r="C613" s="2" t="s">
        <v>18</v>
      </c>
      <c r="D613">
        <v>2147</v>
      </c>
      <c r="E613">
        <v>3590</v>
      </c>
      <c r="F613">
        <v>563</v>
      </c>
      <c r="G613">
        <v>2137</v>
      </c>
      <c r="H613">
        <v>1330</v>
      </c>
      <c r="I613">
        <v>0.59741676600000004</v>
      </c>
      <c r="J613">
        <v>0.80187419500000001</v>
      </c>
      <c r="K613">
        <v>1597</v>
      </c>
      <c r="L613">
        <v>3158</v>
      </c>
      <c r="M613" s="2">
        <v>3</v>
      </c>
      <c r="N613">
        <v>1.978309246</v>
      </c>
      <c r="O613">
        <v>0.86999448499999998</v>
      </c>
      <c r="P613" t="b">
        <v>0</v>
      </c>
      <c r="Q613">
        <v>0.41721177399999998</v>
      </c>
      <c r="R613" s="2">
        <v>1</v>
      </c>
      <c r="S613" s="2" t="str">
        <f t="shared" si="37"/>
        <v>Sep</v>
      </c>
      <c r="T613">
        <f t="shared" si="38"/>
        <v>2026</v>
      </c>
      <c r="U613" s="2" t="str">
        <f t="shared" si="39"/>
        <v>Q3</v>
      </c>
      <c r="V613" t="str">
        <f t="shared" si="40"/>
        <v>Completed</v>
      </c>
    </row>
    <row r="614" spans="1:22" x14ac:dyDescent="0.3">
      <c r="A614" s="2">
        <v>613</v>
      </c>
      <c r="B614" s="1">
        <v>46270</v>
      </c>
      <c r="C614" s="2" t="s">
        <v>5</v>
      </c>
      <c r="D614">
        <v>2253</v>
      </c>
      <c r="E614">
        <v>3313</v>
      </c>
      <c r="F614">
        <v>1312</v>
      </c>
      <c r="G614">
        <v>2260</v>
      </c>
      <c r="H614">
        <v>3475</v>
      </c>
      <c r="I614">
        <v>0.41487510399999999</v>
      </c>
      <c r="J614">
        <v>1.957068421</v>
      </c>
      <c r="K614">
        <v>3342</v>
      </c>
      <c r="L614">
        <v>1739</v>
      </c>
      <c r="M614" s="2">
        <v>2</v>
      </c>
      <c r="N614">
        <v>0.56657618799999998</v>
      </c>
      <c r="O614">
        <v>0.90049887299999998</v>
      </c>
      <c r="P614" t="b">
        <v>0</v>
      </c>
      <c r="Q614">
        <v>0.43887980399999998</v>
      </c>
      <c r="R614" s="2">
        <v>1</v>
      </c>
      <c r="S614" s="2" t="str">
        <f t="shared" si="37"/>
        <v>Sep</v>
      </c>
      <c r="T614">
        <f t="shared" si="38"/>
        <v>2026</v>
      </c>
      <c r="U614" s="2" t="str">
        <f t="shared" si="39"/>
        <v>Q3</v>
      </c>
      <c r="V614" t="str">
        <f t="shared" si="40"/>
        <v>Completed</v>
      </c>
    </row>
    <row r="615" spans="1:22" x14ac:dyDescent="0.3">
      <c r="A615" s="2">
        <v>614</v>
      </c>
      <c r="B615" s="1">
        <v>46271</v>
      </c>
      <c r="C615" s="2" t="s">
        <v>16</v>
      </c>
      <c r="D615">
        <v>252</v>
      </c>
      <c r="E615">
        <v>3793</v>
      </c>
      <c r="F615">
        <v>2995</v>
      </c>
      <c r="G615">
        <v>3868</v>
      </c>
      <c r="H615">
        <v>2362</v>
      </c>
      <c r="I615">
        <v>0.64255383899999996</v>
      </c>
      <c r="J615">
        <v>2.4270656920000002</v>
      </c>
      <c r="K615">
        <v>1684</v>
      </c>
      <c r="L615">
        <v>868</v>
      </c>
      <c r="M615" s="2">
        <v>8</v>
      </c>
      <c r="N615">
        <v>1.1416744510000001</v>
      </c>
      <c r="O615">
        <v>0.82512224000000001</v>
      </c>
      <c r="P615" t="b">
        <v>0</v>
      </c>
      <c r="Q615">
        <v>2.9844644E-2</v>
      </c>
      <c r="R615" s="2">
        <v>0</v>
      </c>
      <c r="S615" s="2" t="str">
        <f t="shared" si="37"/>
        <v>Sep</v>
      </c>
      <c r="T615">
        <f t="shared" si="38"/>
        <v>2026</v>
      </c>
      <c r="U615" s="2" t="str">
        <f t="shared" si="39"/>
        <v>Q3</v>
      </c>
      <c r="V615" t="str">
        <f t="shared" si="40"/>
        <v>Completed</v>
      </c>
    </row>
    <row r="616" spans="1:22" x14ac:dyDescent="0.3">
      <c r="A616" s="2">
        <v>615</v>
      </c>
      <c r="B616" s="1">
        <v>46272</v>
      </c>
      <c r="C616" s="2" t="s">
        <v>5</v>
      </c>
      <c r="D616">
        <v>2475</v>
      </c>
      <c r="E616">
        <v>3975</v>
      </c>
      <c r="F616">
        <v>1412</v>
      </c>
      <c r="G616">
        <v>3528</v>
      </c>
      <c r="H616">
        <v>897</v>
      </c>
      <c r="I616">
        <v>0.58526692499999999</v>
      </c>
      <c r="J616">
        <v>1.2425455540000001</v>
      </c>
      <c r="K616">
        <v>3125</v>
      </c>
      <c r="L616">
        <v>2982</v>
      </c>
      <c r="M616" s="2">
        <v>2</v>
      </c>
      <c r="N616">
        <v>1.037374217</v>
      </c>
      <c r="O616">
        <v>0.98454433799999996</v>
      </c>
      <c r="P616" t="b">
        <v>0</v>
      </c>
      <c r="Q616">
        <v>0.48426001600000002</v>
      </c>
      <c r="R616" s="2">
        <v>1</v>
      </c>
      <c r="S616" s="2" t="str">
        <f t="shared" si="37"/>
        <v>Sep</v>
      </c>
      <c r="T616">
        <f t="shared" si="38"/>
        <v>2026</v>
      </c>
      <c r="U616" s="2" t="str">
        <f t="shared" si="39"/>
        <v>Q3</v>
      </c>
      <c r="V616" t="str">
        <f t="shared" si="40"/>
        <v>Failed</v>
      </c>
    </row>
    <row r="617" spans="1:22" x14ac:dyDescent="0.3">
      <c r="A617" s="2">
        <v>616</v>
      </c>
      <c r="B617" s="1">
        <v>46273</v>
      </c>
      <c r="C617" s="2" t="s">
        <v>17</v>
      </c>
      <c r="D617">
        <v>4159</v>
      </c>
      <c r="E617">
        <v>3789</v>
      </c>
      <c r="F617">
        <v>1673</v>
      </c>
      <c r="G617">
        <v>4132</v>
      </c>
      <c r="H617">
        <v>2507</v>
      </c>
      <c r="I617">
        <v>0.40409334800000002</v>
      </c>
      <c r="J617">
        <v>2.2624887130000002</v>
      </c>
      <c r="K617">
        <v>503</v>
      </c>
      <c r="L617">
        <v>705</v>
      </c>
      <c r="M617" s="2">
        <v>2</v>
      </c>
      <c r="N617">
        <v>0.98681156199999998</v>
      </c>
      <c r="O617">
        <v>0.91535674</v>
      </c>
      <c r="P617" t="b">
        <v>0</v>
      </c>
      <c r="Q617">
        <v>0.82849550299999997</v>
      </c>
      <c r="R617" s="2">
        <v>1</v>
      </c>
      <c r="S617" s="2" t="str">
        <f t="shared" si="37"/>
        <v>Sep</v>
      </c>
      <c r="T617">
        <f t="shared" si="38"/>
        <v>2026</v>
      </c>
      <c r="U617" s="2" t="str">
        <f t="shared" si="39"/>
        <v>Q3</v>
      </c>
      <c r="V617" t="str">
        <f t="shared" si="40"/>
        <v>Completed</v>
      </c>
    </row>
    <row r="618" spans="1:22" x14ac:dyDescent="0.3">
      <c r="A618" s="2">
        <v>617</v>
      </c>
      <c r="B618" s="1">
        <v>46274</v>
      </c>
      <c r="C618" s="2" t="s">
        <v>17</v>
      </c>
      <c r="D618">
        <v>127</v>
      </c>
      <c r="E618">
        <v>846</v>
      </c>
      <c r="F618">
        <v>622</v>
      </c>
      <c r="G618">
        <v>1411</v>
      </c>
      <c r="H618">
        <v>2335</v>
      </c>
      <c r="I618">
        <v>0.52053321900000005</v>
      </c>
      <c r="J618">
        <v>2.802284276</v>
      </c>
      <c r="K618">
        <v>3850</v>
      </c>
      <c r="L618">
        <v>716</v>
      </c>
      <c r="M618" s="2">
        <v>5</v>
      </c>
      <c r="N618">
        <v>1.592931646</v>
      </c>
      <c r="O618">
        <v>0.96750644100000005</v>
      </c>
      <c r="P618" t="b">
        <v>0</v>
      </c>
      <c r="Q618">
        <v>4.292723E-3</v>
      </c>
      <c r="R618" s="2">
        <v>1</v>
      </c>
      <c r="S618" s="2" t="str">
        <f t="shared" si="37"/>
        <v>Sep</v>
      </c>
      <c r="T618">
        <f t="shared" si="38"/>
        <v>2026</v>
      </c>
      <c r="U618" s="2" t="str">
        <f t="shared" si="39"/>
        <v>Q3</v>
      </c>
      <c r="V618" t="str">
        <f t="shared" si="40"/>
        <v>Completed</v>
      </c>
    </row>
    <row r="619" spans="1:22" x14ac:dyDescent="0.3">
      <c r="A619" s="2">
        <v>618</v>
      </c>
      <c r="B619" s="1">
        <v>46275</v>
      </c>
      <c r="C619" s="2" t="s">
        <v>5</v>
      </c>
      <c r="D619">
        <v>2791</v>
      </c>
      <c r="E619">
        <v>4485</v>
      </c>
      <c r="F619">
        <v>3504</v>
      </c>
      <c r="G619">
        <v>443</v>
      </c>
      <c r="H619">
        <v>2779</v>
      </c>
      <c r="I619">
        <v>0.48118825199999998</v>
      </c>
      <c r="J619">
        <v>2.0605235789999998</v>
      </c>
      <c r="K619">
        <v>1478</v>
      </c>
      <c r="L619">
        <v>2001</v>
      </c>
      <c r="M619" s="2">
        <v>7</v>
      </c>
      <c r="N619">
        <v>1.271853721</v>
      </c>
      <c r="O619">
        <v>0.92667049899999998</v>
      </c>
      <c r="P619" t="b">
        <v>0</v>
      </c>
      <c r="Q619">
        <v>0.548855274</v>
      </c>
      <c r="R619" s="2">
        <v>1</v>
      </c>
      <c r="S619" s="2" t="str">
        <f t="shared" si="37"/>
        <v>Sep</v>
      </c>
      <c r="T619">
        <f t="shared" si="38"/>
        <v>2026</v>
      </c>
      <c r="U619" s="2" t="str">
        <f t="shared" si="39"/>
        <v>Q3</v>
      </c>
      <c r="V619" t="str">
        <f t="shared" si="40"/>
        <v>Completed</v>
      </c>
    </row>
    <row r="620" spans="1:22" x14ac:dyDescent="0.3">
      <c r="A620" s="2">
        <v>619</v>
      </c>
      <c r="B620" s="1">
        <v>46276</v>
      </c>
      <c r="C620" s="2" t="s">
        <v>18</v>
      </c>
      <c r="D620">
        <v>4346</v>
      </c>
      <c r="E620">
        <v>2163</v>
      </c>
      <c r="F620">
        <v>1664</v>
      </c>
      <c r="G620">
        <v>2061</v>
      </c>
      <c r="H620">
        <v>2092</v>
      </c>
      <c r="I620">
        <v>0.29561604899999999</v>
      </c>
      <c r="J620">
        <v>2.440828464</v>
      </c>
      <c r="K620">
        <v>4541</v>
      </c>
      <c r="L620">
        <v>3774</v>
      </c>
      <c r="M620" s="2">
        <v>7</v>
      </c>
      <c r="N620">
        <v>1.4992652319999999</v>
      </c>
      <c r="O620">
        <v>0.95504154799999996</v>
      </c>
      <c r="P620" t="b">
        <v>0</v>
      </c>
      <c r="Q620">
        <v>0.86672117699999995</v>
      </c>
      <c r="R620" s="2">
        <v>1</v>
      </c>
      <c r="S620" s="2" t="str">
        <f t="shared" si="37"/>
        <v>Sep</v>
      </c>
      <c r="T620">
        <f t="shared" si="38"/>
        <v>2026</v>
      </c>
      <c r="U620" s="2" t="str">
        <f t="shared" si="39"/>
        <v>Q3</v>
      </c>
      <c r="V620" t="str">
        <f t="shared" si="40"/>
        <v>Completed</v>
      </c>
    </row>
    <row r="621" spans="1:22" x14ac:dyDescent="0.3">
      <c r="A621" s="2">
        <v>620</v>
      </c>
      <c r="B621" s="1">
        <v>46277</v>
      </c>
      <c r="C621" s="2" t="s">
        <v>17</v>
      </c>
      <c r="D621">
        <v>3865</v>
      </c>
      <c r="E621">
        <v>3776</v>
      </c>
      <c r="F621">
        <v>2365</v>
      </c>
      <c r="G621">
        <v>3632</v>
      </c>
      <c r="H621">
        <v>1490</v>
      </c>
      <c r="I621">
        <v>0.27407736599999999</v>
      </c>
      <c r="J621">
        <v>0.99004410099999995</v>
      </c>
      <c r="K621">
        <v>1565</v>
      </c>
      <c r="L621">
        <v>3089</v>
      </c>
      <c r="M621" s="2">
        <v>2</v>
      </c>
      <c r="N621">
        <v>1.452325112</v>
      </c>
      <c r="O621">
        <v>0.86829747300000004</v>
      </c>
      <c r="P621" t="b">
        <v>0</v>
      </c>
      <c r="Q621">
        <v>0.76839738300000004</v>
      </c>
      <c r="R621" s="2">
        <v>1</v>
      </c>
      <c r="S621" s="2" t="str">
        <f t="shared" si="37"/>
        <v>Sep</v>
      </c>
      <c r="T621">
        <f t="shared" si="38"/>
        <v>2026</v>
      </c>
      <c r="U621" s="2" t="str">
        <f t="shared" si="39"/>
        <v>Q3</v>
      </c>
      <c r="V621" t="str">
        <f t="shared" si="40"/>
        <v>Completed</v>
      </c>
    </row>
    <row r="622" spans="1:22" x14ac:dyDescent="0.3">
      <c r="A622" s="2">
        <v>621</v>
      </c>
      <c r="B622" s="1">
        <v>46278</v>
      </c>
      <c r="C622" s="2" t="s">
        <v>18</v>
      </c>
      <c r="D622">
        <v>3661</v>
      </c>
      <c r="E622">
        <v>3861</v>
      </c>
      <c r="F622">
        <v>2268</v>
      </c>
      <c r="G622">
        <v>3783</v>
      </c>
      <c r="H622">
        <v>525</v>
      </c>
      <c r="I622">
        <v>0.76712159199999996</v>
      </c>
      <c r="J622">
        <v>1.404164228</v>
      </c>
      <c r="K622">
        <v>2052</v>
      </c>
      <c r="L622">
        <v>581</v>
      </c>
      <c r="M622" s="2">
        <v>2</v>
      </c>
      <c r="N622">
        <v>0.87514522400000005</v>
      </c>
      <c r="O622">
        <v>0.98256574100000005</v>
      </c>
      <c r="P622" t="b">
        <v>0</v>
      </c>
      <c r="Q622">
        <v>0.726696648</v>
      </c>
      <c r="R622" s="2">
        <v>1</v>
      </c>
      <c r="S622" s="2" t="str">
        <f t="shared" si="37"/>
        <v>Sep</v>
      </c>
      <c r="T622">
        <f t="shared" si="38"/>
        <v>2026</v>
      </c>
      <c r="U622" s="2" t="str">
        <f t="shared" si="39"/>
        <v>Q3</v>
      </c>
      <c r="V622" t="str">
        <f t="shared" si="40"/>
        <v>Completed</v>
      </c>
    </row>
    <row r="623" spans="1:22" x14ac:dyDescent="0.3">
      <c r="A623" s="2">
        <v>622</v>
      </c>
      <c r="B623" s="1">
        <v>46279</v>
      </c>
      <c r="C623" s="2" t="s">
        <v>16</v>
      </c>
      <c r="D623">
        <v>4180</v>
      </c>
      <c r="E623">
        <v>1402</v>
      </c>
      <c r="F623">
        <v>353</v>
      </c>
      <c r="G623">
        <v>4753</v>
      </c>
      <c r="H623">
        <v>305</v>
      </c>
      <c r="I623">
        <v>0.34120075500000002</v>
      </c>
      <c r="J623">
        <v>2.1650277500000001</v>
      </c>
      <c r="K623">
        <v>329</v>
      </c>
      <c r="L623">
        <v>1978</v>
      </c>
      <c r="M623" s="2">
        <v>1</v>
      </c>
      <c r="N623">
        <v>1.5206532639999999</v>
      </c>
      <c r="O623">
        <v>0.94725065799999997</v>
      </c>
      <c r="P623" t="b">
        <v>1</v>
      </c>
      <c r="Q623">
        <v>0.83278822600000002</v>
      </c>
      <c r="R623" s="2">
        <v>1</v>
      </c>
      <c r="S623" s="2" t="str">
        <f t="shared" si="37"/>
        <v>Sep</v>
      </c>
      <c r="T623">
        <f t="shared" si="38"/>
        <v>2026</v>
      </c>
      <c r="U623" s="2" t="str">
        <f t="shared" si="39"/>
        <v>Q3</v>
      </c>
      <c r="V623" t="str">
        <f t="shared" si="40"/>
        <v>Completed</v>
      </c>
    </row>
    <row r="624" spans="1:22" x14ac:dyDescent="0.3">
      <c r="A624" s="2">
        <v>623</v>
      </c>
      <c r="B624" s="1">
        <v>46280</v>
      </c>
      <c r="C624" s="2" t="s">
        <v>5</v>
      </c>
      <c r="D624">
        <v>4029</v>
      </c>
      <c r="E624">
        <v>3958</v>
      </c>
      <c r="F624">
        <v>3622</v>
      </c>
      <c r="G624">
        <v>2058</v>
      </c>
      <c r="H624">
        <v>1041</v>
      </c>
      <c r="I624">
        <v>0.58557725000000005</v>
      </c>
      <c r="J624">
        <v>2.4069448850000001</v>
      </c>
      <c r="K624">
        <v>790</v>
      </c>
      <c r="L624">
        <v>1401</v>
      </c>
      <c r="M624" s="2">
        <v>3</v>
      </c>
      <c r="N624">
        <v>1.816230185</v>
      </c>
      <c r="O624">
        <v>0.80094427499999998</v>
      </c>
      <c r="P624" t="b">
        <v>0</v>
      </c>
      <c r="Q624">
        <v>0.80192150399999995</v>
      </c>
      <c r="R624" s="2">
        <v>1</v>
      </c>
      <c r="S624" s="2" t="str">
        <f t="shared" si="37"/>
        <v>Sep</v>
      </c>
      <c r="T624">
        <f t="shared" si="38"/>
        <v>2026</v>
      </c>
      <c r="U624" s="2" t="str">
        <f t="shared" si="39"/>
        <v>Q3</v>
      </c>
      <c r="V624" t="str">
        <f t="shared" si="40"/>
        <v>Completed</v>
      </c>
    </row>
    <row r="625" spans="1:22" x14ac:dyDescent="0.3">
      <c r="A625" s="2">
        <v>624</v>
      </c>
      <c r="B625" s="1">
        <v>46281</v>
      </c>
      <c r="C625" s="2" t="s">
        <v>17</v>
      </c>
      <c r="D625">
        <v>249</v>
      </c>
      <c r="E625">
        <v>2068</v>
      </c>
      <c r="F625">
        <v>2947</v>
      </c>
      <c r="G625">
        <v>3514</v>
      </c>
      <c r="H625">
        <v>2454</v>
      </c>
      <c r="I625">
        <v>0.55454814299999999</v>
      </c>
      <c r="J625">
        <v>0.52864165299999999</v>
      </c>
      <c r="K625">
        <v>4320</v>
      </c>
      <c r="L625">
        <v>1008</v>
      </c>
      <c r="M625" s="2">
        <v>4</v>
      </c>
      <c r="N625">
        <v>1.4947140430000001</v>
      </c>
      <c r="O625">
        <v>0.93966576800000001</v>
      </c>
      <c r="P625" t="b">
        <v>0</v>
      </c>
      <c r="Q625">
        <v>2.9231397999999999E-2</v>
      </c>
      <c r="R625" s="2">
        <v>1</v>
      </c>
      <c r="S625" s="2" t="str">
        <f t="shared" si="37"/>
        <v>Sep</v>
      </c>
      <c r="T625">
        <f t="shared" si="38"/>
        <v>2026</v>
      </c>
      <c r="U625" s="2" t="str">
        <f t="shared" si="39"/>
        <v>Q3</v>
      </c>
      <c r="V625" t="str">
        <f t="shared" si="40"/>
        <v>Completed</v>
      </c>
    </row>
    <row r="626" spans="1:22" x14ac:dyDescent="0.3">
      <c r="A626" s="2">
        <v>625</v>
      </c>
      <c r="B626" s="1">
        <v>46282</v>
      </c>
      <c r="C626" s="2" t="s">
        <v>17</v>
      </c>
      <c r="D626">
        <v>2378</v>
      </c>
      <c r="E626">
        <v>2649</v>
      </c>
      <c r="F626">
        <v>2869</v>
      </c>
      <c r="G626">
        <v>3516</v>
      </c>
      <c r="H626">
        <v>2496</v>
      </c>
      <c r="I626">
        <v>0.24032210800000001</v>
      </c>
      <c r="J626">
        <v>2.3036863630000002</v>
      </c>
      <c r="K626">
        <v>2346</v>
      </c>
      <c r="L626">
        <v>2480</v>
      </c>
      <c r="M626" s="2">
        <v>2</v>
      </c>
      <c r="N626">
        <v>1.359044336</v>
      </c>
      <c r="O626">
        <v>0.85542835100000003</v>
      </c>
      <c r="P626" t="b">
        <v>0</v>
      </c>
      <c r="Q626">
        <v>0.46443172500000002</v>
      </c>
      <c r="R626" s="2">
        <v>1</v>
      </c>
      <c r="S626" s="2" t="str">
        <f t="shared" si="37"/>
        <v>Sep</v>
      </c>
      <c r="T626">
        <f t="shared" si="38"/>
        <v>2026</v>
      </c>
      <c r="U626" s="2" t="str">
        <f t="shared" si="39"/>
        <v>Q3</v>
      </c>
      <c r="V626" t="str">
        <f t="shared" si="40"/>
        <v>Completed</v>
      </c>
    </row>
    <row r="627" spans="1:22" x14ac:dyDescent="0.3">
      <c r="A627" s="2">
        <v>626</v>
      </c>
      <c r="B627" s="1">
        <v>46283</v>
      </c>
      <c r="C627" s="2" t="s">
        <v>5</v>
      </c>
      <c r="D627">
        <v>737</v>
      </c>
      <c r="E627">
        <v>2198</v>
      </c>
      <c r="F627">
        <v>2367</v>
      </c>
      <c r="G627">
        <v>2372</v>
      </c>
      <c r="H627">
        <v>1202</v>
      </c>
      <c r="I627">
        <v>0.78200741600000001</v>
      </c>
      <c r="J627">
        <v>2.8268623069999999</v>
      </c>
      <c r="K627">
        <v>1477</v>
      </c>
      <c r="L627">
        <v>1340</v>
      </c>
      <c r="M627" s="2">
        <v>8</v>
      </c>
      <c r="N627">
        <v>0.95049926200000001</v>
      </c>
      <c r="O627">
        <v>0.94278641699999999</v>
      </c>
      <c r="P627" t="b">
        <v>0</v>
      </c>
      <c r="Q627">
        <v>0.12898609999999999</v>
      </c>
      <c r="R627" s="2">
        <v>1</v>
      </c>
      <c r="S627" s="2" t="str">
        <f t="shared" si="37"/>
        <v>Sep</v>
      </c>
      <c r="T627">
        <f t="shared" si="38"/>
        <v>2026</v>
      </c>
      <c r="U627" s="2" t="str">
        <f t="shared" si="39"/>
        <v>Q3</v>
      </c>
      <c r="V627" t="str">
        <f t="shared" si="40"/>
        <v>Completed</v>
      </c>
    </row>
    <row r="628" spans="1:22" x14ac:dyDescent="0.3">
      <c r="A628" s="2">
        <v>627</v>
      </c>
      <c r="B628" s="1">
        <v>46284</v>
      </c>
      <c r="C628" s="2" t="s">
        <v>17</v>
      </c>
      <c r="D628">
        <v>1799</v>
      </c>
      <c r="E628">
        <v>827</v>
      </c>
      <c r="F628">
        <v>3138</v>
      </c>
      <c r="G628">
        <v>964</v>
      </c>
      <c r="H628">
        <v>624</v>
      </c>
      <c r="I628">
        <v>0.78140398600000005</v>
      </c>
      <c r="J628">
        <v>1.6365020219999999</v>
      </c>
      <c r="K628">
        <v>1239</v>
      </c>
      <c r="L628">
        <v>419</v>
      </c>
      <c r="M628" s="2">
        <v>2</v>
      </c>
      <c r="N628">
        <v>0.71027278500000002</v>
      </c>
      <c r="O628">
        <v>0.89280243699999995</v>
      </c>
      <c r="P628" t="b">
        <v>0</v>
      </c>
      <c r="Q628">
        <v>0.34607522499999999</v>
      </c>
      <c r="R628" s="2">
        <v>1</v>
      </c>
      <c r="S628" s="2" t="str">
        <f t="shared" si="37"/>
        <v>Sep</v>
      </c>
      <c r="T628">
        <f t="shared" si="38"/>
        <v>2026</v>
      </c>
      <c r="U628" s="2" t="str">
        <f t="shared" si="39"/>
        <v>Q3</v>
      </c>
      <c r="V628" t="str">
        <f t="shared" si="40"/>
        <v>Completed</v>
      </c>
    </row>
    <row r="629" spans="1:22" x14ac:dyDescent="0.3">
      <c r="A629" s="2">
        <v>628</v>
      </c>
      <c r="B629" s="1">
        <v>46285</v>
      </c>
      <c r="C629" s="2" t="s">
        <v>17</v>
      </c>
      <c r="D629">
        <v>3627</v>
      </c>
      <c r="E629">
        <v>1159</v>
      </c>
      <c r="F629">
        <v>3715</v>
      </c>
      <c r="G629">
        <v>4621</v>
      </c>
      <c r="H629">
        <v>3921</v>
      </c>
      <c r="I629">
        <v>0.206764161</v>
      </c>
      <c r="J629">
        <v>0.55554292500000002</v>
      </c>
      <c r="K629">
        <v>3800</v>
      </c>
      <c r="L629">
        <v>3543</v>
      </c>
      <c r="M629" s="2">
        <v>4</v>
      </c>
      <c r="N629">
        <v>0.51387121300000005</v>
      </c>
      <c r="O629">
        <v>0.98152544600000002</v>
      </c>
      <c r="P629" t="b">
        <v>0</v>
      </c>
      <c r="Q629">
        <v>0.71974652500000003</v>
      </c>
      <c r="R629" s="2">
        <v>1</v>
      </c>
      <c r="S629" s="2" t="str">
        <f t="shared" si="37"/>
        <v>Sep</v>
      </c>
      <c r="T629">
        <f t="shared" si="38"/>
        <v>2026</v>
      </c>
      <c r="U629" s="2" t="str">
        <f t="shared" si="39"/>
        <v>Q3</v>
      </c>
      <c r="V629" t="str">
        <f t="shared" si="40"/>
        <v>Completed</v>
      </c>
    </row>
    <row r="630" spans="1:22" x14ac:dyDescent="0.3">
      <c r="A630" s="2">
        <v>629</v>
      </c>
      <c r="B630" s="1">
        <v>46286</v>
      </c>
      <c r="C630" s="2" t="s">
        <v>17</v>
      </c>
      <c r="D630">
        <v>4751</v>
      </c>
      <c r="E630">
        <v>746</v>
      </c>
      <c r="F630">
        <v>2626</v>
      </c>
      <c r="G630">
        <v>3438</v>
      </c>
      <c r="H630">
        <v>2770</v>
      </c>
      <c r="I630">
        <v>0.71171295999999995</v>
      </c>
      <c r="J630">
        <v>1.8055995659999999</v>
      </c>
      <c r="K630">
        <v>3970</v>
      </c>
      <c r="L630">
        <v>3984</v>
      </c>
      <c r="M630" s="2">
        <v>7</v>
      </c>
      <c r="N630">
        <v>0.97387894900000005</v>
      </c>
      <c r="O630">
        <v>0.95876519400000004</v>
      </c>
      <c r="P630" t="b">
        <v>0</v>
      </c>
      <c r="Q630">
        <v>0.94950940299999997</v>
      </c>
      <c r="R630" s="2">
        <v>1</v>
      </c>
      <c r="S630" s="2" t="str">
        <f t="shared" si="37"/>
        <v>Sep</v>
      </c>
      <c r="T630">
        <f t="shared" si="38"/>
        <v>2026</v>
      </c>
      <c r="U630" s="2" t="str">
        <f t="shared" si="39"/>
        <v>Q3</v>
      </c>
      <c r="V630" t="str">
        <f t="shared" si="40"/>
        <v>Completed</v>
      </c>
    </row>
    <row r="631" spans="1:22" x14ac:dyDescent="0.3">
      <c r="A631" s="2">
        <v>630</v>
      </c>
      <c r="B631" s="1">
        <v>46287</v>
      </c>
      <c r="C631" s="2" t="s">
        <v>18</v>
      </c>
      <c r="D631">
        <v>4542</v>
      </c>
      <c r="E631">
        <v>2652</v>
      </c>
      <c r="F631">
        <v>2790</v>
      </c>
      <c r="G631">
        <v>4769</v>
      </c>
      <c r="H631">
        <v>2374</v>
      </c>
      <c r="I631">
        <v>0.78886575999999997</v>
      </c>
      <c r="J631">
        <v>1.2490734809999999</v>
      </c>
      <c r="K631">
        <v>2097</v>
      </c>
      <c r="L631">
        <v>991</v>
      </c>
      <c r="M631" s="2">
        <v>7</v>
      </c>
      <c r="N631">
        <v>1.2611187660000001</v>
      </c>
      <c r="O631">
        <v>0.86988098400000002</v>
      </c>
      <c r="P631" t="b">
        <v>0</v>
      </c>
      <c r="Q631">
        <v>0.90678658999999995</v>
      </c>
      <c r="R631" s="2">
        <v>1</v>
      </c>
      <c r="S631" s="2" t="str">
        <f t="shared" si="37"/>
        <v>Sep</v>
      </c>
      <c r="T631">
        <f t="shared" si="38"/>
        <v>2026</v>
      </c>
      <c r="U631" s="2" t="str">
        <f t="shared" si="39"/>
        <v>Q3</v>
      </c>
      <c r="V631" t="str">
        <f t="shared" si="40"/>
        <v>Completed</v>
      </c>
    </row>
    <row r="632" spans="1:22" x14ac:dyDescent="0.3">
      <c r="A632" s="2">
        <v>631</v>
      </c>
      <c r="B632" s="1">
        <v>46288</v>
      </c>
      <c r="C632" s="2" t="s">
        <v>5</v>
      </c>
      <c r="D632">
        <v>4300</v>
      </c>
      <c r="E632">
        <v>2366</v>
      </c>
      <c r="F632">
        <v>1096</v>
      </c>
      <c r="G632">
        <v>1729</v>
      </c>
      <c r="H632">
        <v>1640</v>
      </c>
      <c r="I632">
        <v>0.54806612499999996</v>
      </c>
      <c r="J632">
        <v>1.9354577070000001</v>
      </c>
      <c r="K632">
        <v>4254</v>
      </c>
      <c r="L632">
        <v>2230</v>
      </c>
      <c r="M632" s="2">
        <v>5</v>
      </c>
      <c r="N632">
        <v>0.56608127100000005</v>
      </c>
      <c r="O632">
        <v>0.98892923099999996</v>
      </c>
      <c r="P632" t="b">
        <v>0</v>
      </c>
      <c r="Q632">
        <v>0.85731807000000004</v>
      </c>
      <c r="R632" s="2">
        <v>1</v>
      </c>
      <c r="S632" s="2" t="str">
        <f t="shared" si="37"/>
        <v>Sep</v>
      </c>
      <c r="T632">
        <f t="shared" si="38"/>
        <v>2026</v>
      </c>
      <c r="U632" s="2" t="str">
        <f t="shared" si="39"/>
        <v>Q3</v>
      </c>
      <c r="V632" t="str">
        <f t="shared" si="40"/>
        <v>Completed</v>
      </c>
    </row>
    <row r="633" spans="1:22" x14ac:dyDescent="0.3">
      <c r="A633" s="2">
        <v>632</v>
      </c>
      <c r="B633" s="1">
        <v>46289</v>
      </c>
      <c r="C633" s="2" t="s">
        <v>18</v>
      </c>
      <c r="D633">
        <v>2428</v>
      </c>
      <c r="E633">
        <v>1477</v>
      </c>
      <c r="F633">
        <v>2171</v>
      </c>
      <c r="G633">
        <v>4518</v>
      </c>
      <c r="H633">
        <v>2609</v>
      </c>
      <c r="I633">
        <v>0.44605794399999998</v>
      </c>
      <c r="J633">
        <v>1.2045260840000001</v>
      </c>
      <c r="K633">
        <v>3690</v>
      </c>
      <c r="L633">
        <v>1495</v>
      </c>
      <c r="M633" s="2">
        <v>8</v>
      </c>
      <c r="N633">
        <v>1.117850773</v>
      </c>
      <c r="O633">
        <v>0.91424016100000005</v>
      </c>
      <c r="P633" t="b">
        <v>0</v>
      </c>
      <c r="Q633">
        <v>0.47465249399999998</v>
      </c>
      <c r="R633" s="2">
        <v>0</v>
      </c>
      <c r="S633" s="2" t="str">
        <f t="shared" si="37"/>
        <v>Sep</v>
      </c>
      <c r="T633">
        <f t="shared" si="38"/>
        <v>2026</v>
      </c>
      <c r="U633" s="2" t="str">
        <f t="shared" si="39"/>
        <v>Q3</v>
      </c>
      <c r="V633" t="str">
        <f t="shared" si="40"/>
        <v>Completed</v>
      </c>
    </row>
    <row r="634" spans="1:22" x14ac:dyDescent="0.3">
      <c r="A634" s="2">
        <v>633</v>
      </c>
      <c r="B634" s="1">
        <v>46290</v>
      </c>
      <c r="C634" s="2" t="s">
        <v>5</v>
      </c>
      <c r="D634">
        <v>2330</v>
      </c>
      <c r="E634">
        <v>3414</v>
      </c>
      <c r="F634">
        <v>3992</v>
      </c>
      <c r="G634">
        <v>1260</v>
      </c>
      <c r="H634">
        <v>1723</v>
      </c>
      <c r="I634">
        <v>0.44800833600000001</v>
      </c>
      <c r="J634">
        <v>2.7946906349999998</v>
      </c>
      <c r="K634">
        <v>3869</v>
      </c>
      <c r="L634">
        <v>253</v>
      </c>
      <c r="M634" s="2">
        <v>6</v>
      </c>
      <c r="N634">
        <v>1.6368932970000001</v>
      </c>
      <c r="O634">
        <v>0.95327607299999995</v>
      </c>
      <c r="P634" t="b">
        <v>0</v>
      </c>
      <c r="Q634">
        <v>0.454619787</v>
      </c>
      <c r="R634" s="2">
        <v>1</v>
      </c>
      <c r="S634" s="2" t="str">
        <f t="shared" si="37"/>
        <v>Sep</v>
      </c>
      <c r="T634">
        <f t="shared" si="38"/>
        <v>2026</v>
      </c>
      <c r="U634" s="2" t="str">
        <f t="shared" si="39"/>
        <v>Q3</v>
      </c>
      <c r="V634" t="str">
        <f t="shared" si="40"/>
        <v>Failed</v>
      </c>
    </row>
    <row r="635" spans="1:22" x14ac:dyDescent="0.3">
      <c r="A635" s="2">
        <v>634</v>
      </c>
      <c r="B635" s="1">
        <v>46291</v>
      </c>
      <c r="C635" s="2" t="s">
        <v>17</v>
      </c>
      <c r="D635">
        <v>1128</v>
      </c>
      <c r="E635">
        <v>4252</v>
      </c>
      <c r="F635">
        <v>240</v>
      </c>
      <c r="G635">
        <v>1107</v>
      </c>
      <c r="H635">
        <v>3298</v>
      </c>
      <c r="I635">
        <v>0.412576367</v>
      </c>
      <c r="J635">
        <v>0.67854138500000005</v>
      </c>
      <c r="K635">
        <v>1243</v>
      </c>
      <c r="L635">
        <v>2854</v>
      </c>
      <c r="M635" s="2">
        <v>4</v>
      </c>
      <c r="N635">
        <v>1.5119005000000001</v>
      </c>
      <c r="O635">
        <v>0.808390198</v>
      </c>
      <c r="P635" t="b">
        <v>0</v>
      </c>
      <c r="Q635">
        <v>0.20891251</v>
      </c>
      <c r="R635" s="2">
        <v>1</v>
      </c>
      <c r="S635" s="2" t="str">
        <f t="shared" si="37"/>
        <v>Sep</v>
      </c>
      <c r="T635">
        <f t="shared" si="38"/>
        <v>2026</v>
      </c>
      <c r="U635" s="2" t="str">
        <f t="shared" si="39"/>
        <v>Q3</v>
      </c>
      <c r="V635" t="str">
        <f t="shared" si="40"/>
        <v>Completed</v>
      </c>
    </row>
    <row r="636" spans="1:22" x14ac:dyDescent="0.3">
      <c r="A636" s="2">
        <v>635</v>
      </c>
      <c r="B636" s="1">
        <v>46292</v>
      </c>
      <c r="C636" s="2" t="s">
        <v>18</v>
      </c>
      <c r="D636">
        <v>144</v>
      </c>
      <c r="E636">
        <v>3018</v>
      </c>
      <c r="F636">
        <v>2532</v>
      </c>
      <c r="G636">
        <v>723</v>
      </c>
      <c r="H636">
        <v>3998</v>
      </c>
      <c r="I636">
        <v>0.76338663200000001</v>
      </c>
      <c r="J636">
        <v>2.9790843759999999</v>
      </c>
      <c r="K636">
        <v>343</v>
      </c>
      <c r="L636">
        <v>3067</v>
      </c>
      <c r="M636" s="2">
        <v>1</v>
      </c>
      <c r="N636">
        <v>1.469213876</v>
      </c>
      <c r="O636">
        <v>0.89148245500000001</v>
      </c>
      <c r="P636" t="b">
        <v>0</v>
      </c>
      <c r="Q636">
        <v>7.7677839999999998E-3</v>
      </c>
      <c r="R636" s="2">
        <v>1</v>
      </c>
      <c r="S636" s="2" t="str">
        <f t="shared" si="37"/>
        <v>Sep</v>
      </c>
      <c r="T636">
        <f t="shared" si="38"/>
        <v>2026</v>
      </c>
      <c r="U636" s="2" t="str">
        <f t="shared" si="39"/>
        <v>Q3</v>
      </c>
      <c r="V636" t="str">
        <f t="shared" si="40"/>
        <v>Completed</v>
      </c>
    </row>
    <row r="637" spans="1:22" x14ac:dyDescent="0.3">
      <c r="A637" s="2">
        <v>636</v>
      </c>
      <c r="B637" s="1">
        <v>46293</v>
      </c>
      <c r="C637" s="2" t="s">
        <v>17</v>
      </c>
      <c r="D637">
        <v>208</v>
      </c>
      <c r="E637">
        <v>599</v>
      </c>
      <c r="F637">
        <v>1016</v>
      </c>
      <c r="G637">
        <v>3845</v>
      </c>
      <c r="H637">
        <v>3208</v>
      </c>
      <c r="I637">
        <v>0.40991750100000002</v>
      </c>
      <c r="J637">
        <v>1.8577411109999999</v>
      </c>
      <c r="K637">
        <v>3639</v>
      </c>
      <c r="L637">
        <v>2766</v>
      </c>
      <c r="M637" s="2">
        <v>4</v>
      </c>
      <c r="N637">
        <v>0.82455956600000002</v>
      </c>
      <c r="O637">
        <v>0.92365773600000001</v>
      </c>
      <c r="P637" t="b">
        <v>0</v>
      </c>
      <c r="Q637">
        <v>2.0850368000000001E-2</v>
      </c>
      <c r="R637" s="2">
        <v>1</v>
      </c>
      <c r="S637" s="2" t="str">
        <f t="shared" si="37"/>
        <v>Sep</v>
      </c>
      <c r="T637">
        <f t="shared" si="38"/>
        <v>2026</v>
      </c>
      <c r="U637" s="2" t="str">
        <f t="shared" si="39"/>
        <v>Q3</v>
      </c>
      <c r="V637" t="str">
        <f t="shared" si="40"/>
        <v>Completed</v>
      </c>
    </row>
    <row r="638" spans="1:22" x14ac:dyDescent="0.3">
      <c r="A638" s="2">
        <v>637</v>
      </c>
      <c r="B638" s="1">
        <v>46294</v>
      </c>
      <c r="C638" s="2" t="s">
        <v>16</v>
      </c>
      <c r="D638">
        <v>1839</v>
      </c>
      <c r="E638">
        <v>2467</v>
      </c>
      <c r="F638">
        <v>2247</v>
      </c>
      <c r="G638">
        <v>2372</v>
      </c>
      <c r="H638">
        <v>199</v>
      </c>
      <c r="I638">
        <v>0.65534782400000002</v>
      </c>
      <c r="J638">
        <v>2.0347676859999999</v>
      </c>
      <c r="K638">
        <v>1061</v>
      </c>
      <c r="L638">
        <v>732</v>
      </c>
      <c r="M638" s="2">
        <v>9</v>
      </c>
      <c r="N638">
        <v>0.90751494499999996</v>
      </c>
      <c r="O638">
        <v>0.97683613300000005</v>
      </c>
      <c r="P638" t="b">
        <v>0</v>
      </c>
      <c r="Q638">
        <v>0.35425183999999998</v>
      </c>
      <c r="R638" s="2">
        <v>1</v>
      </c>
      <c r="S638" s="2" t="str">
        <f t="shared" si="37"/>
        <v>Sep</v>
      </c>
      <c r="T638">
        <f t="shared" si="38"/>
        <v>2026</v>
      </c>
      <c r="U638" s="2" t="str">
        <f t="shared" si="39"/>
        <v>Q3</v>
      </c>
      <c r="V638" t="str">
        <f t="shared" si="40"/>
        <v>Completed</v>
      </c>
    </row>
    <row r="639" spans="1:22" x14ac:dyDescent="0.3">
      <c r="A639" s="2">
        <v>638</v>
      </c>
      <c r="B639" s="1">
        <v>46295</v>
      </c>
      <c r="C639" s="2" t="s">
        <v>5</v>
      </c>
      <c r="D639">
        <v>2123</v>
      </c>
      <c r="E639">
        <v>3892</v>
      </c>
      <c r="F639">
        <v>3839</v>
      </c>
      <c r="G639">
        <v>775</v>
      </c>
      <c r="H639">
        <v>1715</v>
      </c>
      <c r="I639">
        <v>0.291840039</v>
      </c>
      <c r="J639">
        <v>1.880109917</v>
      </c>
      <c r="K639">
        <v>782</v>
      </c>
      <c r="L639">
        <v>2256</v>
      </c>
      <c r="M639" s="2">
        <v>3</v>
      </c>
      <c r="N639">
        <v>0.99545793999999999</v>
      </c>
      <c r="O639">
        <v>0.93403138399999996</v>
      </c>
      <c r="P639" t="b">
        <v>0</v>
      </c>
      <c r="Q639">
        <v>0.41230580500000003</v>
      </c>
      <c r="R639" s="2">
        <v>1</v>
      </c>
      <c r="S639" s="2" t="str">
        <f t="shared" si="37"/>
        <v>Sep</v>
      </c>
      <c r="T639">
        <f t="shared" si="38"/>
        <v>2026</v>
      </c>
      <c r="U639" s="2" t="str">
        <f t="shared" si="39"/>
        <v>Q3</v>
      </c>
      <c r="V639" t="str">
        <f t="shared" si="40"/>
        <v>Completed</v>
      </c>
    </row>
    <row r="640" spans="1:22" x14ac:dyDescent="0.3">
      <c r="A640" s="2">
        <v>639</v>
      </c>
      <c r="B640" s="1">
        <v>46296</v>
      </c>
      <c r="C640" s="2" t="s">
        <v>16</v>
      </c>
      <c r="D640">
        <v>4961</v>
      </c>
      <c r="E640">
        <v>3269</v>
      </c>
      <c r="F640">
        <v>705</v>
      </c>
      <c r="G640">
        <v>3656</v>
      </c>
      <c r="H640">
        <v>3892</v>
      </c>
      <c r="I640">
        <v>0.44308621599999998</v>
      </c>
      <c r="J640">
        <v>0.778561858</v>
      </c>
      <c r="K640">
        <v>1556</v>
      </c>
      <c r="L640">
        <v>1043</v>
      </c>
      <c r="M640" s="2">
        <v>3</v>
      </c>
      <c r="N640">
        <v>1.6685857150000001</v>
      </c>
      <c r="O640">
        <v>0.82073669999999999</v>
      </c>
      <c r="P640" t="b">
        <v>0</v>
      </c>
      <c r="Q640">
        <v>0.99243663100000001</v>
      </c>
      <c r="R640" s="2">
        <v>1</v>
      </c>
      <c r="S640" s="2" t="str">
        <f t="shared" si="37"/>
        <v>Oct</v>
      </c>
      <c r="T640">
        <f t="shared" si="38"/>
        <v>2026</v>
      </c>
      <c r="U640" s="2" t="str">
        <f t="shared" si="39"/>
        <v>Q4</v>
      </c>
      <c r="V640" t="str">
        <f t="shared" si="40"/>
        <v>Completed</v>
      </c>
    </row>
    <row r="641" spans="1:22" x14ac:dyDescent="0.3">
      <c r="A641" s="2">
        <v>640</v>
      </c>
      <c r="B641" s="1">
        <v>46297</v>
      </c>
      <c r="C641" s="2" t="s">
        <v>5</v>
      </c>
      <c r="D641">
        <v>2778</v>
      </c>
      <c r="E641">
        <v>2502</v>
      </c>
      <c r="F641">
        <v>1232</v>
      </c>
      <c r="G641">
        <v>2506</v>
      </c>
      <c r="H641">
        <v>2547</v>
      </c>
      <c r="I641">
        <v>0.67570197399999998</v>
      </c>
      <c r="J641">
        <v>2.0736958900000002</v>
      </c>
      <c r="K641">
        <v>3255</v>
      </c>
      <c r="L641">
        <v>2252</v>
      </c>
      <c r="M641" s="2">
        <v>5</v>
      </c>
      <c r="N641">
        <v>0.52316802900000003</v>
      </c>
      <c r="O641">
        <v>0.80293240399999999</v>
      </c>
      <c r="P641" t="b">
        <v>0</v>
      </c>
      <c r="Q641">
        <v>0.54619787399999997</v>
      </c>
      <c r="R641" s="2">
        <v>1</v>
      </c>
      <c r="S641" s="2" t="str">
        <f t="shared" si="37"/>
        <v>Oct</v>
      </c>
      <c r="T641">
        <f t="shared" si="38"/>
        <v>2026</v>
      </c>
      <c r="U641" s="2" t="str">
        <f t="shared" si="39"/>
        <v>Q4</v>
      </c>
      <c r="V641" t="str">
        <f t="shared" si="40"/>
        <v>Completed</v>
      </c>
    </row>
    <row r="642" spans="1:22" x14ac:dyDescent="0.3">
      <c r="A642" s="2">
        <v>641</v>
      </c>
      <c r="B642" s="1">
        <v>46298</v>
      </c>
      <c r="C642" s="2" t="s">
        <v>16</v>
      </c>
      <c r="D642">
        <v>4073</v>
      </c>
      <c r="E642">
        <v>4321</v>
      </c>
      <c r="F642">
        <v>3533</v>
      </c>
      <c r="G642">
        <v>3375</v>
      </c>
      <c r="H642">
        <v>1691</v>
      </c>
      <c r="I642">
        <v>0.42958692100000001</v>
      </c>
      <c r="J642">
        <v>2.2100052809999999</v>
      </c>
      <c r="K642">
        <v>524</v>
      </c>
      <c r="L642">
        <v>2054</v>
      </c>
      <c r="M642" s="2">
        <v>3</v>
      </c>
      <c r="N642">
        <v>1.9508560770000001</v>
      </c>
      <c r="O642">
        <v>0.87628100799999997</v>
      </c>
      <c r="P642" t="b">
        <v>0</v>
      </c>
      <c r="Q642">
        <v>0.81091578099999995</v>
      </c>
      <c r="R642" s="2">
        <v>1</v>
      </c>
      <c r="S642" s="2" t="str">
        <f t="shared" ref="S642:S705" si="41">TEXT(B642,"MMM")</f>
        <v>Oct</v>
      </c>
      <c r="T642">
        <f t="shared" ref="T642:T705" si="42">YEAR(B642)</f>
        <v>2026</v>
      </c>
      <c r="U642" s="2" t="str">
        <f t="shared" si="39"/>
        <v>Q4</v>
      </c>
      <c r="V642" t="str">
        <f t="shared" si="40"/>
        <v>Completed</v>
      </c>
    </row>
    <row r="643" spans="1:22" x14ac:dyDescent="0.3">
      <c r="A643" s="2">
        <v>642</v>
      </c>
      <c r="B643" s="1">
        <v>46299</v>
      </c>
      <c r="C643" s="2" t="s">
        <v>16</v>
      </c>
      <c r="D643">
        <v>4818</v>
      </c>
      <c r="E643">
        <v>4123</v>
      </c>
      <c r="F643">
        <v>3841</v>
      </c>
      <c r="G643">
        <v>3839</v>
      </c>
      <c r="H643">
        <v>240</v>
      </c>
      <c r="I643">
        <v>0.57686006099999998</v>
      </c>
      <c r="J643">
        <v>1.429234766</v>
      </c>
      <c r="K643">
        <v>2768</v>
      </c>
      <c r="L643">
        <v>121</v>
      </c>
      <c r="M643" s="2">
        <v>8</v>
      </c>
      <c r="N643">
        <v>1.4093462059999999</v>
      </c>
      <c r="O643">
        <v>0.94439425399999999</v>
      </c>
      <c r="P643" t="b">
        <v>0</v>
      </c>
      <c r="Q643">
        <v>0.96320523300000005</v>
      </c>
      <c r="R643" s="2">
        <v>1</v>
      </c>
      <c r="S643" s="2" t="str">
        <f t="shared" si="41"/>
        <v>Oct</v>
      </c>
      <c r="T643">
        <f t="shared" si="42"/>
        <v>2026</v>
      </c>
      <c r="U643" s="2" t="str">
        <f t="shared" ref="U643:U706" si="43">"Q"&amp;ROUNDUP(MONTH(B643)/3,0)</f>
        <v>Q4</v>
      </c>
      <c r="V643" t="str">
        <f t="shared" si="40"/>
        <v>Completed</v>
      </c>
    </row>
    <row r="644" spans="1:22" x14ac:dyDescent="0.3">
      <c r="A644" s="2">
        <v>643</v>
      </c>
      <c r="B644" s="1">
        <v>46300</v>
      </c>
      <c r="C644" s="2" t="s">
        <v>5</v>
      </c>
      <c r="D644">
        <v>1348</v>
      </c>
      <c r="E644">
        <v>2701</v>
      </c>
      <c r="F644">
        <v>1963</v>
      </c>
      <c r="G644">
        <v>4788</v>
      </c>
      <c r="H644">
        <v>3248</v>
      </c>
      <c r="I644">
        <v>0.34331290199999998</v>
      </c>
      <c r="J644">
        <v>1.534841889</v>
      </c>
      <c r="K644">
        <v>4938</v>
      </c>
      <c r="L644">
        <v>1224</v>
      </c>
      <c r="M644" s="2">
        <v>1</v>
      </c>
      <c r="N644">
        <v>0.93371415700000004</v>
      </c>
      <c r="O644">
        <v>0.83538180200000001</v>
      </c>
      <c r="P644" t="b">
        <v>0</v>
      </c>
      <c r="Q644">
        <v>0.253883892</v>
      </c>
      <c r="R644" s="2">
        <v>1</v>
      </c>
      <c r="S644" s="2" t="str">
        <f t="shared" si="41"/>
        <v>Oct</v>
      </c>
      <c r="T644">
        <f t="shared" si="42"/>
        <v>2026</v>
      </c>
      <c r="U644" s="2" t="str">
        <f t="shared" si="43"/>
        <v>Q4</v>
      </c>
      <c r="V644" t="str">
        <f t="shared" ref="V644:V707" si="44">IF(R643=1,"Completed","Failed")</f>
        <v>Completed</v>
      </c>
    </row>
    <row r="645" spans="1:22" x14ac:dyDescent="0.3">
      <c r="A645" s="2">
        <v>644</v>
      </c>
      <c r="B645" s="1">
        <v>46301</v>
      </c>
      <c r="C645" s="2" t="s">
        <v>17</v>
      </c>
      <c r="D645">
        <v>2340</v>
      </c>
      <c r="E645">
        <v>1382</v>
      </c>
      <c r="F645">
        <v>1467</v>
      </c>
      <c r="G645">
        <v>2507</v>
      </c>
      <c r="H645">
        <v>3663</v>
      </c>
      <c r="I645">
        <v>0.67740312000000003</v>
      </c>
      <c r="J645">
        <v>0.62018022399999995</v>
      </c>
      <c r="K645">
        <v>1965</v>
      </c>
      <c r="L645">
        <v>3574</v>
      </c>
      <c r="M645" s="2">
        <v>4</v>
      </c>
      <c r="N645">
        <v>0.63939267600000005</v>
      </c>
      <c r="O645">
        <v>0.89046958399999998</v>
      </c>
      <c r="P645" t="b">
        <v>0</v>
      </c>
      <c r="Q645">
        <v>0.45666394100000002</v>
      </c>
      <c r="R645" s="2">
        <v>1</v>
      </c>
      <c r="S645" s="2" t="str">
        <f t="shared" si="41"/>
        <v>Oct</v>
      </c>
      <c r="T645">
        <f t="shared" si="42"/>
        <v>2026</v>
      </c>
      <c r="U645" s="2" t="str">
        <f t="shared" si="43"/>
        <v>Q4</v>
      </c>
      <c r="V645" t="str">
        <f t="shared" si="44"/>
        <v>Completed</v>
      </c>
    </row>
    <row r="646" spans="1:22" x14ac:dyDescent="0.3">
      <c r="A646" s="2">
        <v>645</v>
      </c>
      <c r="B646" s="1">
        <v>46302</v>
      </c>
      <c r="C646" s="2" t="s">
        <v>16</v>
      </c>
      <c r="D646">
        <v>4881</v>
      </c>
      <c r="E646">
        <v>860</v>
      </c>
      <c r="F646">
        <v>3042</v>
      </c>
      <c r="G646">
        <v>4656</v>
      </c>
      <c r="H646">
        <v>1610</v>
      </c>
      <c r="I646">
        <v>0.414288029</v>
      </c>
      <c r="J646">
        <v>2.9124323529999998</v>
      </c>
      <c r="K646">
        <v>3113</v>
      </c>
      <c r="L646">
        <v>1865</v>
      </c>
      <c r="M646" s="2">
        <v>5</v>
      </c>
      <c r="N646">
        <v>1.643834397</v>
      </c>
      <c r="O646">
        <v>0.90644889500000003</v>
      </c>
      <c r="P646" t="b">
        <v>0</v>
      </c>
      <c r="Q646">
        <v>0.97608340100000002</v>
      </c>
      <c r="R646" s="2">
        <v>1</v>
      </c>
      <c r="S646" s="2" t="str">
        <f t="shared" si="41"/>
        <v>Oct</v>
      </c>
      <c r="T646">
        <f t="shared" si="42"/>
        <v>2026</v>
      </c>
      <c r="U646" s="2" t="str">
        <f t="shared" si="43"/>
        <v>Q4</v>
      </c>
      <c r="V646" t="str">
        <f t="shared" si="44"/>
        <v>Completed</v>
      </c>
    </row>
    <row r="647" spans="1:22" x14ac:dyDescent="0.3">
      <c r="A647" s="2">
        <v>646</v>
      </c>
      <c r="B647" s="1">
        <v>46303</v>
      </c>
      <c r="C647" s="2" t="s">
        <v>18</v>
      </c>
      <c r="D647">
        <v>1571</v>
      </c>
      <c r="E647">
        <v>3741</v>
      </c>
      <c r="F647">
        <v>2149</v>
      </c>
      <c r="G647">
        <v>4690</v>
      </c>
      <c r="H647">
        <v>721</v>
      </c>
      <c r="I647">
        <v>0.28694599900000001</v>
      </c>
      <c r="J647">
        <v>2.5952202089999998</v>
      </c>
      <c r="K647">
        <v>789</v>
      </c>
      <c r="L647">
        <v>2720</v>
      </c>
      <c r="M647" s="2">
        <v>9</v>
      </c>
      <c r="N647">
        <v>0.81148394499999998</v>
      </c>
      <c r="O647">
        <v>0.91364279400000004</v>
      </c>
      <c r="P647" t="b">
        <v>0</v>
      </c>
      <c r="Q647">
        <v>0.29946852000000002</v>
      </c>
      <c r="R647" s="2">
        <v>1</v>
      </c>
      <c r="S647" s="2" t="str">
        <f t="shared" si="41"/>
        <v>Oct</v>
      </c>
      <c r="T647">
        <f t="shared" si="42"/>
        <v>2026</v>
      </c>
      <c r="U647" s="2" t="str">
        <f t="shared" si="43"/>
        <v>Q4</v>
      </c>
      <c r="V647" t="str">
        <f t="shared" si="44"/>
        <v>Completed</v>
      </c>
    </row>
    <row r="648" spans="1:22" x14ac:dyDescent="0.3">
      <c r="A648" s="2">
        <v>647</v>
      </c>
      <c r="B648" s="1">
        <v>46304</v>
      </c>
      <c r="C648" s="2" t="s">
        <v>5</v>
      </c>
      <c r="D648">
        <v>3588</v>
      </c>
      <c r="E648">
        <v>3757</v>
      </c>
      <c r="F648">
        <v>3011</v>
      </c>
      <c r="G648">
        <v>3473</v>
      </c>
      <c r="H648">
        <v>2766</v>
      </c>
      <c r="I648">
        <v>0.60029681300000004</v>
      </c>
      <c r="J648">
        <v>2.177751599</v>
      </c>
      <c r="K648">
        <v>3874</v>
      </c>
      <c r="L648">
        <v>1761</v>
      </c>
      <c r="M648" s="2">
        <v>8</v>
      </c>
      <c r="N648">
        <v>0.84172971799999996</v>
      </c>
      <c r="O648">
        <v>0.86620538300000005</v>
      </c>
      <c r="P648" t="b">
        <v>0</v>
      </c>
      <c r="Q648">
        <v>0.71177432500000004</v>
      </c>
      <c r="R648" s="2">
        <v>1</v>
      </c>
      <c r="S648" s="2" t="str">
        <f t="shared" si="41"/>
        <v>Oct</v>
      </c>
      <c r="T648">
        <f t="shared" si="42"/>
        <v>2026</v>
      </c>
      <c r="U648" s="2" t="str">
        <f t="shared" si="43"/>
        <v>Q4</v>
      </c>
      <c r="V648" t="str">
        <f t="shared" si="44"/>
        <v>Completed</v>
      </c>
    </row>
    <row r="649" spans="1:22" x14ac:dyDescent="0.3">
      <c r="A649" s="2">
        <v>648</v>
      </c>
      <c r="B649" s="1">
        <v>46305</v>
      </c>
      <c r="C649" s="2" t="s">
        <v>5</v>
      </c>
      <c r="D649">
        <v>469</v>
      </c>
      <c r="E649">
        <v>3266</v>
      </c>
      <c r="F649">
        <v>1562</v>
      </c>
      <c r="G649">
        <v>803</v>
      </c>
      <c r="H649">
        <v>2429</v>
      </c>
      <c r="I649">
        <v>0.643418991</v>
      </c>
      <c r="J649">
        <v>2.064323307</v>
      </c>
      <c r="K649">
        <v>619</v>
      </c>
      <c r="L649">
        <v>903</v>
      </c>
      <c r="M649" s="2">
        <v>5</v>
      </c>
      <c r="N649">
        <v>1.664797595</v>
      </c>
      <c r="O649">
        <v>0.83906071900000001</v>
      </c>
      <c r="P649" t="b">
        <v>0</v>
      </c>
      <c r="Q649">
        <v>7.4202779999999996E-2</v>
      </c>
      <c r="R649" s="2">
        <v>1</v>
      </c>
      <c r="S649" s="2" t="str">
        <f t="shared" si="41"/>
        <v>Oct</v>
      </c>
      <c r="T649">
        <f t="shared" si="42"/>
        <v>2026</v>
      </c>
      <c r="U649" s="2" t="str">
        <f t="shared" si="43"/>
        <v>Q4</v>
      </c>
      <c r="V649" t="str">
        <f t="shared" si="44"/>
        <v>Completed</v>
      </c>
    </row>
    <row r="650" spans="1:22" x14ac:dyDescent="0.3">
      <c r="A650" s="2">
        <v>649</v>
      </c>
      <c r="B650" s="1">
        <v>46306</v>
      </c>
      <c r="C650" s="2" t="s">
        <v>16</v>
      </c>
      <c r="D650">
        <v>2311</v>
      </c>
      <c r="E650">
        <v>896</v>
      </c>
      <c r="F650">
        <v>2459</v>
      </c>
      <c r="G650">
        <v>1071</v>
      </c>
      <c r="H650">
        <v>1909</v>
      </c>
      <c r="I650">
        <v>0.30906750300000002</v>
      </c>
      <c r="J650">
        <v>2.244729403</v>
      </c>
      <c r="K650">
        <v>4613</v>
      </c>
      <c r="L650">
        <v>1165</v>
      </c>
      <c r="M650" s="2">
        <v>5</v>
      </c>
      <c r="N650">
        <v>1.7096015250000001</v>
      </c>
      <c r="O650">
        <v>0.83777992199999995</v>
      </c>
      <c r="P650" t="b">
        <v>0</v>
      </c>
      <c r="Q650">
        <v>0.450735895</v>
      </c>
      <c r="R650" s="2">
        <v>1</v>
      </c>
      <c r="S650" s="2" t="str">
        <f t="shared" si="41"/>
        <v>Oct</v>
      </c>
      <c r="T650">
        <f t="shared" si="42"/>
        <v>2026</v>
      </c>
      <c r="U650" s="2" t="str">
        <f t="shared" si="43"/>
        <v>Q4</v>
      </c>
      <c r="V650" t="str">
        <f t="shared" si="44"/>
        <v>Completed</v>
      </c>
    </row>
    <row r="651" spans="1:22" x14ac:dyDescent="0.3">
      <c r="A651" s="2">
        <v>650</v>
      </c>
      <c r="B651" s="1">
        <v>46307</v>
      </c>
      <c r="C651" s="2" t="s">
        <v>18</v>
      </c>
      <c r="D651">
        <v>4880</v>
      </c>
      <c r="E651">
        <v>4335</v>
      </c>
      <c r="F651">
        <v>1797</v>
      </c>
      <c r="G651">
        <v>1251</v>
      </c>
      <c r="H651">
        <v>2192</v>
      </c>
      <c r="I651">
        <v>0.51433063099999998</v>
      </c>
      <c r="J651">
        <v>0.92427711999999995</v>
      </c>
      <c r="K651">
        <v>473</v>
      </c>
      <c r="L651">
        <v>3393</v>
      </c>
      <c r="M651" s="2">
        <v>3</v>
      </c>
      <c r="N651">
        <v>1.303769271</v>
      </c>
      <c r="O651">
        <v>0.93520575800000005</v>
      </c>
      <c r="P651" t="b">
        <v>0</v>
      </c>
      <c r="Q651">
        <v>0.975878986</v>
      </c>
      <c r="R651" s="2">
        <v>1</v>
      </c>
      <c r="S651" s="2" t="str">
        <f t="shared" si="41"/>
        <v>Oct</v>
      </c>
      <c r="T651">
        <f t="shared" si="42"/>
        <v>2026</v>
      </c>
      <c r="U651" s="2" t="str">
        <f t="shared" si="43"/>
        <v>Q4</v>
      </c>
      <c r="V651" t="str">
        <f t="shared" si="44"/>
        <v>Completed</v>
      </c>
    </row>
    <row r="652" spans="1:22" x14ac:dyDescent="0.3">
      <c r="A652" s="2">
        <v>651</v>
      </c>
      <c r="B652" s="1">
        <v>46308</v>
      </c>
      <c r="C652" s="2" t="s">
        <v>5</v>
      </c>
      <c r="D652">
        <v>2415</v>
      </c>
      <c r="E652">
        <v>1491</v>
      </c>
      <c r="F652">
        <v>1786</v>
      </c>
      <c r="G652">
        <v>1590</v>
      </c>
      <c r="H652">
        <v>971</v>
      </c>
      <c r="I652">
        <v>0.56927567000000001</v>
      </c>
      <c r="J652">
        <v>2.325488016</v>
      </c>
      <c r="K652">
        <v>2467</v>
      </c>
      <c r="L652">
        <v>2745</v>
      </c>
      <c r="M652" s="2">
        <v>9</v>
      </c>
      <c r="N652">
        <v>0.72557186799999995</v>
      </c>
      <c r="O652">
        <v>0.86981715599999998</v>
      </c>
      <c r="P652" t="b">
        <v>1</v>
      </c>
      <c r="Q652">
        <v>0.471995094</v>
      </c>
      <c r="R652" s="2">
        <v>0</v>
      </c>
      <c r="S652" s="2" t="str">
        <f t="shared" si="41"/>
        <v>Oct</v>
      </c>
      <c r="T652">
        <f t="shared" si="42"/>
        <v>2026</v>
      </c>
      <c r="U652" s="2" t="str">
        <f t="shared" si="43"/>
        <v>Q4</v>
      </c>
      <c r="V652" t="str">
        <f t="shared" si="44"/>
        <v>Completed</v>
      </c>
    </row>
    <row r="653" spans="1:22" x14ac:dyDescent="0.3">
      <c r="A653" s="2">
        <v>652</v>
      </c>
      <c r="B653" s="1">
        <v>46309</v>
      </c>
      <c r="C653" s="2" t="s">
        <v>17</v>
      </c>
      <c r="D653">
        <v>3080</v>
      </c>
      <c r="E653">
        <v>3396</v>
      </c>
      <c r="F653">
        <v>3419</v>
      </c>
      <c r="G653">
        <v>4894</v>
      </c>
      <c r="H653">
        <v>3355</v>
      </c>
      <c r="I653">
        <v>0.58171363499999995</v>
      </c>
      <c r="J653">
        <v>2.9802981970000002</v>
      </c>
      <c r="K653">
        <v>4371</v>
      </c>
      <c r="L653">
        <v>134</v>
      </c>
      <c r="M653" s="2">
        <v>9</v>
      </c>
      <c r="N653">
        <v>1.82729783</v>
      </c>
      <c r="O653">
        <v>0.83906728600000002</v>
      </c>
      <c r="P653" t="b">
        <v>0</v>
      </c>
      <c r="Q653">
        <v>0.60793131600000005</v>
      </c>
      <c r="R653" s="2">
        <v>1</v>
      </c>
      <c r="S653" s="2" t="str">
        <f t="shared" si="41"/>
        <v>Oct</v>
      </c>
      <c r="T653">
        <f t="shared" si="42"/>
        <v>2026</v>
      </c>
      <c r="U653" s="2" t="str">
        <f t="shared" si="43"/>
        <v>Q4</v>
      </c>
      <c r="V653" t="str">
        <f t="shared" si="44"/>
        <v>Failed</v>
      </c>
    </row>
    <row r="654" spans="1:22" x14ac:dyDescent="0.3">
      <c r="A654" s="2">
        <v>653</v>
      </c>
      <c r="B654" s="1">
        <v>46310</v>
      </c>
      <c r="C654" s="2" t="s">
        <v>17</v>
      </c>
      <c r="D654">
        <v>2413</v>
      </c>
      <c r="E654">
        <v>1010</v>
      </c>
      <c r="F654">
        <v>3171</v>
      </c>
      <c r="G654">
        <v>719</v>
      </c>
      <c r="H654">
        <v>1218</v>
      </c>
      <c r="I654">
        <v>0.29050067200000002</v>
      </c>
      <c r="J654">
        <v>1.379735052</v>
      </c>
      <c r="K654">
        <v>4737</v>
      </c>
      <c r="L654">
        <v>2516</v>
      </c>
      <c r="M654" s="2">
        <v>9</v>
      </c>
      <c r="N654">
        <v>1.5761971539999999</v>
      </c>
      <c r="O654">
        <v>0.96714001999999999</v>
      </c>
      <c r="P654" t="b">
        <v>0</v>
      </c>
      <c r="Q654">
        <v>0.47158626300000001</v>
      </c>
      <c r="R654" s="2">
        <v>1</v>
      </c>
      <c r="S654" s="2" t="str">
        <f t="shared" si="41"/>
        <v>Oct</v>
      </c>
      <c r="T654">
        <f t="shared" si="42"/>
        <v>2026</v>
      </c>
      <c r="U654" s="2" t="str">
        <f t="shared" si="43"/>
        <v>Q4</v>
      </c>
      <c r="V654" t="str">
        <f t="shared" si="44"/>
        <v>Completed</v>
      </c>
    </row>
    <row r="655" spans="1:22" x14ac:dyDescent="0.3">
      <c r="A655" s="2">
        <v>654</v>
      </c>
      <c r="B655" s="1">
        <v>46311</v>
      </c>
      <c r="C655" s="2" t="s">
        <v>18</v>
      </c>
      <c r="D655">
        <v>1897</v>
      </c>
      <c r="E655">
        <v>3609</v>
      </c>
      <c r="F655">
        <v>3115</v>
      </c>
      <c r="G655">
        <v>1583</v>
      </c>
      <c r="H655">
        <v>288</v>
      </c>
      <c r="I655">
        <v>0.79609963399999994</v>
      </c>
      <c r="J655">
        <v>1.6027069089999999</v>
      </c>
      <c r="K655">
        <v>3034</v>
      </c>
      <c r="L655">
        <v>599</v>
      </c>
      <c r="M655" s="2">
        <v>6</v>
      </c>
      <c r="N655">
        <v>1.3553509619999999</v>
      </c>
      <c r="O655">
        <v>0.98271247799999994</v>
      </c>
      <c r="P655" t="b">
        <v>1</v>
      </c>
      <c r="Q655">
        <v>0.366107931</v>
      </c>
      <c r="R655" s="2">
        <v>1</v>
      </c>
      <c r="S655" s="2" t="str">
        <f t="shared" si="41"/>
        <v>Oct</v>
      </c>
      <c r="T655">
        <f t="shared" si="42"/>
        <v>2026</v>
      </c>
      <c r="U655" s="2" t="str">
        <f t="shared" si="43"/>
        <v>Q4</v>
      </c>
      <c r="V655" t="str">
        <f t="shared" si="44"/>
        <v>Completed</v>
      </c>
    </row>
    <row r="656" spans="1:22" x14ac:dyDescent="0.3">
      <c r="A656" s="2">
        <v>655</v>
      </c>
      <c r="B656" s="1">
        <v>46312</v>
      </c>
      <c r="C656" s="2" t="s">
        <v>17</v>
      </c>
      <c r="D656">
        <v>4823</v>
      </c>
      <c r="E656">
        <v>3616</v>
      </c>
      <c r="F656">
        <v>1976</v>
      </c>
      <c r="G656">
        <v>4857</v>
      </c>
      <c r="H656">
        <v>2348</v>
      </c>
      <c r="I656">
        <v>0.248597865</v>
      </c>
      <c r="J656">
        <v>2.7303318089999999</v>
      </c>
      <c r="K656">
        <v>2058</v>
      </c>
      <c r="L656">
        <v>3614</v>
      </c>
      <c r="M656" s="2">
        <v>6</v>
      </c>
      <c r="N656">
        <v>1.353709899</v>
      </c>
      <c r="O656">
        <v>0.89895427400000005</v>
      </c>
      <c r="P656" t="b">
        <v>0</v>
      </c>
      <c r="Q656">
        <v>0.96422730999999995</v>
      </c>
      <c r="R656" s="2">
        <v>1</v>
      </c>
      <c r="S656" s="2" t="str">
        <f t="shared" si="41"/>
        <v>Oct</v>
      </c>
      <c r="T656">
        <f t="shared" si="42"/>
        <v>2026</v>
      </c>
      <c r="U656" s="2" t="str">
        <f t="shared" si="43"/>
        <v>Q4</v>
      </c>
      <c r="V656" t="str">
        <f t="shared" si="44"/>
        <v>Completed</v>
      </c>
    </row>
    <row r="657" spans="1:22" x14ac:dyDescent="0.3">
      <c r="A657" s="2">
        <v>656</v>
      </c>
      <c r="B657" s="1">
        <v>46313</v>
      </c>
      <c r="C657" s="2" t="s">
        <v>18</v>
      </c>
      <c r="D657">
        <v>3919</v>
      </c>
      <c r="E657">
        <v>4058</v>
      </c>
      <c r="F657">
        <v>3905</v>
      </c>
      <c r="G657">
        <v>1497</v>
      </c>
      <c r="H657">
        <v>1562</v>
      </c>
      <c r="I657">
        <v>0.33398085199999999</v>
      </c>
      <c r="J657">
        <v>1.598090904</v>
      </c>
      <c r="K657">
        <v>4592</v>
      </c>
      <c r="L657">
        <v>3369</v>
      </c>
      <c r="M657" s="2">
        <v>3</v>
      </c>
      <c r="N657">
        <v>0.97473745599999995</v>
      </c>
      <c r="O657">
        <v>0.89935191800000003</v>
      </c>
      <c r="P657" t="b">
        <v>0</v>
      </c>
      <c r="Q657">
        <v>0.77943581399999995</v>
      </c>
      <c r="R657" s="2">
        <v>1</v>
      </c>
      <c r="S657" s="2" t="str">
        <f t="shared" si="41"/>
        <v>Oct</v>
      </c>
      <c r="T657">
        <f t="shared" si="42"/>
        <v>2026</v>
      </c>
      <c r="U657" s="2" t="str">
        <f t="shared" si="43"/>
        <v>Q4</v>
      </c>
      <c r="V657" t="str">
        <f t="shared" si="44"/>
        <v>Completed</v>
      </c>
    </row>
    <row r="658" spans="1:22" x14ac:dyDescent="0.3">
      <c r="A658" s="2">
        <v>657</v>
      </c>
      <c r="B658" s="1">
        <v>46314</v>
      </c>
      <c r="C658" s="2" t="s">
        <v>16</v>
      </c>
      <c r="D658">
        <v>3957</v>
      </c>
      <c r="E658">
        <v>1228</v>
      </c>
      <c r="F658">
        <v>1877</v>
      </c>
      <c r="G658">
        <v>910</v>
      </c>
      <c r="H658">
        <v>658</v>
      </c>
      <c r="I658">
        <v>0.270428059</v>
      </c>
      <c r="J658">
        <v>1.8760318730000001</v>
      </c>
      <c r="K658">
        <v>4378</v>
      </c>
      <c r="L658">
        <v>471</v>
      </c>
      <c r="M658" s="2">
        <v>6</v>
      </c>
      <c r="N658">
        <v>1.1384314769999999</v>
      </c>
      <c r="O658">
        <v>0.96389522100000002</v>
      </c>
      <c r="P658" t="b">
        <v>0</v>
      </c>
      <c r="Q658">
        <v>0.78720359799999995</v>
      </c>
      <c r="R658" s="2">
        <v>1</v>
      </c>
      <c r="S658" s="2" t="str">
        <f t="shared" si="41"/>
        <v>Oct</v>
      </c>
      <c r="T658">
        <f t="shared" si="42"/>
        <v>2026</v>
      </c>
      <c r="U658" s="2" t="str">
        <f t="shared" si="43"/>
        <v>Q4</v>
      </c>
      <c r="V658" t="str">
        <f t="shared" si="44"/>
        <v>Completed</v>
      </c>
    </row>
    <row r="659" spans="1:22" x14ac:dyDescent="0.3">
      <c r="A659" s="2">
        <v>658</v>
      </c>
      <c r="B659" s="1">
        <v>46315</v>
      </c>
      <c r="C659" s="2" t="s">
        <v>17</v>
      </c>
      <c r="D659">
        <v>994</v>
      </c>
      <c r="E659">
        <v>4322</v>
      </c>
      <c r="F659">
        <v>860</v>
      </c>
      <c r="G659">
        <v>4387</v>
      </c>
      <c r="H659">
        <v>1196</v>
      </c>
      <c r="I659">
        <v>0.71517185000000005</v>
      </c>
      <c r="J659">
        <v>2.3875009220000001</v>
      </c>
      <c r="K659">
        <v>3150</v>
      </c>
      <c r="L659">
        <v>2369</v>
      </c>
      <c r="M659" s="2">
        <v>7</v>
      </c>
      <c r="N659">
        <v>1.652105242</v>
      </c>
      <c r="O659">
        <v>0.97203594800000004</v>
      </c>
      <c r="P659" t="b">
        <v>0</v>
      </c>
      <c r="Q659">
        <v>0.18152085000000001</v>
      </c>
      <c r="R659" s="2">
        <v>1</v>
      </c>
      <c r="S659" s="2" t="str">
        <f t="shared" si="41"/>
        <v>Oct</v>
      </c>
      <c r="T659">
        <f t="shared" si="42"/>
        <v>2026</v>
      </c>
      <c r="U659" s="2" t="str">
        <f t="shared" si="43"/>
        <v>Q4</v>
      </c>
      <c r="V659" t="str">
        <f t="shared" si="44"/>
        <v>Completed</v>
      </c>
    </row>
    <row r="660" spans="1:22" x14ac:dyDescent="0.3">
      <c r="A660" s="2">
        <v>659</v>
      </c>
      <c r="B660" s="1">
        <v>46316</v>
      </c>
      <c r="C660" s="2" t="s">
        <v>17</v>
      </c>
      <c r="D660">
        <v>3107</v>
      </c>
      <c r="E660">
        <v>2476</v>
      </c>
      <c r="F660">
        <v>1316</v>
      </c>
      <c r="G660">
        <v>4602</v>
      </c>
      <c r="H660">
        <v>605</v>
      </c>
      <c r="I660">
        <v>0.66957197300000004</v>
      </c>
      <c r="J660">
        <v>2.3834812350000001</v>
      </c>
      <c r="K660">
        <v>1796</v>
      </c>
      <c r="L660">
        <v>3211</v>
      </c>
      <c r="M660" s="2">
        <v>5</v>
      </c>
      <c r="N660">
        <v>0.82079047400000005</v>
      </c>
      <c r="O660">
        <v>0.81389891599999997</v>
      </c>
      <c r="P660" t="b">
        <v>0</v>
      </c>
      <c r="Q660">
        <v>0.61345053100000002</v>
      </c>
      <c r="R660" s="2">
        <v>1</v>
      </c>
      <c r="S660" s="2" t="str">
        <f t="shared" si="41"/>
        <v>Oct</v>
      </c>
      <c r="T660">
        <f t="shared" si="42"/>
        <v>2026</v>
      </c>
      <c r="U660" s="2" t="str">
        <f t="shared" si="43"/>
        <v>Q4</v>
      </c>
      <c r="V660" t="str">
        <f t="shared" si="44"/>
        <v>Completed</v>
      </c>
    </row>
    <row r="661" spans="1:22" x14ac:dyDescent="0.3">
      <c r="A661" s="2">
        <v>660</v>
      </c>
      <c r="B661" s="1">
        <v>46317</v>
      </c>
      <c r="C661" s="2" t="s">
        <v>18</v>
      </c>
      <c r="D661">
        <v>1026</v>
      </c>
      <c r="E661">
        <v>3531</v>
      </c>
      <c r="F661">
        <v>2079</v>
      </c>
      <c r="G661">
        <v>4379</v>
      </c>
      <c r="H661">
        <v>3884</v>
      </c>
      <c r="I661">
        <v>0.44293653199999999</v>
      </c>
      <c r="J661">
        <v>1.7524689550000001</v>
      </c>
      <c r="K661">
        <v>3344</v>
      </c>
      <c r="L661">
        <v>1044</v>
      </c>
      <c r="M661" s="2">
        <v>4</v>
      </c>
      <c r="N661">
        <v>1.625841351</v>
      </c>
      <c r="O661">
        <v>0.92681926100000001</v>
      </c>
      <c r="P661" t="b">
        <v>0</v>
      </c>
      <c r="Q661">
        <v>0.18806214199999999</v>
      </c>
      <c r="R661" s="2">
        <v>1</v>
      </c>
      <c r="S661" s="2" t="str">
        <f t="shared" si="41"/>
        <v>Oct</v>
      </c>
      <c r="T661">
        <f t="shared" si="42"/>
        <v>2026</v>
      </c>
      <c r="U661" s="2" t="str">
        <f t="shared" si="43"/>
        <v>Q4</v>
      </c>
      <c r="V661" t="str">
        <f t="shared" si="44"/>
        <v>Completed</v>
      </c>
    </row>
    <row r="662" spans="1:22" x14ac:dyDescent="0.3">
      <c r="A662" s="2">
        <v>661</v>
      </c>
      <c r="B662" s="1">
        <v>46318</v>
      </c>
      <c r="C662" s="2" t="s">
        <v>18</v>
      </c>
      <c r="D662">
        <v>4122</v>
      </c>
      <c r="E662">
        <v>801</v>
      </c>
      <c r="F662">
        <v>3024</v>
      </c>
      <c r="G662">
        <v>4261</v>
      </c>
      <c r="H662">
        <v>3142</v>
      </c>
      <c r="I662">
        <v>0.474510033</v>
      </c>
      <c r="J662">
        <v>2.9908873009999999</v>
      </c>
      <c r="K662">
        <v>2555</v>
      </c>
      <c r="L662">
        <v>1669</v>
      </c>
      <c r="M662" s="2">
        <v>2</v>
      </c>
      <c r="N662">
        <v>1.327050898</v>
      </c>
      <c r="O662">
        <v>0.80453390400000002</v>
      </c>
      <c r="P662" t="b">
        <v>0</v>
      </c>
      <c r="Q662">
        <v>0.82093213399999998</v>
      </c>
      <c r="R662" s="2">
        <v>1</v>
      </c>
      <c r="S662" s="2" t="str">
        <f t="shared" si="41"/>
        <v>Oct</v>
      </c>
      <c r="T662">
        <f t="shared" si="42"/>
        <v>2026</v>
      </c>
      <c r="U662" s="2" t="str">
        <f t="shared" si="43"/>
        <v>Q4</v>
      </c>
      <c r="V662" t="str">
        <f t="shared" si="44"/>
        <v>Completed</v>
      </c>
    </row>
    <row r="663" spans="1:22" x14ac:dyDescent="0.3">
      <c r="A663" s="2">
        <v>662</v>
      </c>
      <c r="B663" s="1">
        <v>46319</v>
      </c>
      <c r="C663" s="2" t="s">
        <v>5</v>
      </c>
      <c r="D663">
        <v>1638</v>
      </c>
      <c r="E663">
        <v>2592</v>
      </c>
      <c r="F663">
        <v>798</v>
      </c>
      <c r="G663">
        <v>2717</v>
      </c>
      <c r="H663">
        <v>2952</v>
      </c>
      <c r="I663">
        <v>0.56578351999999998</v>
      </c>
      <c r="J663">
        <v>2.021511684</v>
      </c>
      <c r="K663">
        <v>4123</v>
      </c>
      <c r="L663">
        <v>3756</v>
      </c>
      <c r="M663" s="2">
        <v>9</v>
      </c>
      <c r="N663">
        <v>0.93392897699999999</v>
      </c>
      <c r="O663">
        <v>0.89854413799999999</v>
      </c>
      <c r="P663" t="b">
        <v>0</v>
      </c>
      <c r="Q663">
        <v>0.31316434999999998</v>
      </c>
      <c r="R663" s="2">
        <v>0</v>
      </c>
      <c r="S663" s="2" t="str">
        <f t="shared" si="41"/>
        <v>Oct</v>
      </c>
      <c r="T663">
        <f t="shared" si="42"/>
        <v>2026</v>
      </c>
      <c r="U663" s="2" t="str">
        <f t="shared" si="43"/>
        <v>Q4</v>
      </c>
      <c r="V663" t="str">
        <f t="shared" si="44"/>
        <v>Completed</v>
      </c>
    </row>
    <row r="664" spans="1:22" x14ac:dyDescent="0.3">
      <c r="A664" s="2">
        <v>663</v>
      </c>
      <c r="B664" s="1">
        <v>46320</v>
      </c>
      <c r="C664" s="2" t="s">
        <v>17</v>
      </c>
      <c r="D664">
        <v>438</v>
      </c>
      <c r="E664">
        <v>3562</v>
      </c>
      <c r="F664">
        <v>1088</v>
      </c>
      <c r="G664">
        <v>1750</v>
      </c>
      <c r="H664">
        <v>1939</v>
      </c>
      <c r="I664">
        <v>0.45622901199999999</v>
      </c>
      <c r="J664">
        <v>0.89419434799999997</v>
      </c>
      <c r="K664">
        <v>2623</v>
      </c>
      <c r="L664">
        <v>3917</v>
      </c>
      <c r="M664" s="2">
        <v>8</v>
      </c>
      <c r="N664">
        <v>1.4800304440000001</v>
      </c>
      <c r="O664">
        <v>0.90148705900000003</v>
      </c>
      <c r="P664" t="b">
        <v>0</v>
      </c>
      <c r="Q664">
        <v>6.7865904000000005E-2</v>
      </c>
      <c r="R664" s="2">
        <v>1</v>
      </c>
      <c r="S664" s="2" t="str">
        <f t="shared" si="41"/>
        <v>Oct</v>
      </c>
      <c r="T664">
        <f t="shared" si="42"/>
        <v>2026</v>
      </c>
      <c r="U664" s="2" t="str">
        <f t="shared" si="43"/>
        <v>Q4</v>
      </c>
      <c r="V664" t="str">
        <f t="shared" si="44"/>
        <v>Failed</v>
      </c>
    </row>
    <row r="665" spans="1:22" x14ac:dyDescent="0.3">
      <c r="A665" s="2">
        <v>664</v>
      </c>
      <c r="B665" s="1">
        <v>46321</v>
      </c>
      <c r="C665" s="2" t="s">
        <v>17</v>
      </c>
      <c r="D665">
        <v>3877</v>
      </c>
      <c r="E665">
        <v>2782</v>
      </c>
      <c r="F665">
        <v>2530</v>
      </c>
      <c r="G665">
        <v>449</v>
      </c>
      <c r="H665">
        <v>3105</v>
      </c>
      <c r="I665">
        <v>0.58495812899999999</v>
      </c>
      <c r="J665">
        <v>2.3221162070000001</v>
      </c>
      <c r="K665">
        <v>4305</v>
      </c>
      <c r="L665">
        <v>1658</v>
      </c>
      <c r="M665" s="2">
        <v>1</v>
      </c>
      <c r="N665">
        <v>0.88034926499999999</v>
      </c>
      <c r="O665">
        <v>0.96064060299999998</v>
      </c>
      <c r="P665" t="b">
        <v>1</v>
      </c>
      <c r="Q665">
        <v>0.77085036799999995</v>
      </c>
      <c r="R665" s="2">
        <v>1</v>
      </c>
      <c r="S665" s="2" t="str">
        <f t="shared" si="41"/>
        <v>Oct</v>
      </c>
      <c r="T665">
        <f t="shared" si="42"/>
        <v>2026</v>
      </c>
      <c r="U665" s="2" t="str">
        <f t="shared" si="43"/>
        <v>Q4</v>
      </c>
      <c r="V665" t="str">
        <f t="shared" si="44"/>
        <v>Completed</v>
      </c>
    </row>
    <row r="666" spans="1:22" x14ac:dyDescent="0.3">
      <c r="A666" s="2">
        <v>665</v>
      </c>
      <c r="B666" s="1">
        <v>46322</v>
      </c>
      <c r="C666" s="2" t="s">
        <v>17</v>
      </c>
      <c r="D666">
        <v>415</v>
      </c>
      <c r="E666">
        <v>669</v>
      </c>
      <c r="F666">
        <v>815</v>
      </c>
      <c r="G666">
        <v>3085</v>
      </c>
      <c r="H666">
        <v>2833</v>
      </c>
      <c r="I666">
        <v>0.67016751600000002</v>
      </c>
      <c r="J666">
        <v>1.1614881109999999</v>
      </c>
      <c r="K666">
        <v>3199</v>
      </c>
      <c r="L666">
        <v>2841</v>
      </c>
      <c r="M666" s="2">
        <v>2</v>
      </c>
      <c r="N666">
        <v>1.8176384640000001</v>
      </c>
      <c r="O666">
        <v>0.86093820899999995</v>
      </c>
      <c r="P666" t="b">
        <v>0</v>
      </c>
      <c r="Q666">
        <v>6.3164349999999994E-2</v>
      </c>
      <c r="R666" s="2">
        <v>1</v>
      </c>
      <c r="S666" s="2" t="str">
        <f t="shared" si="41"/>
        <v>Oct</v>
      </c>
      <c r="T666">
        <f t="shared" si="42"/>
        <v>2026</v>
      </c>
      <c r="U666" s="2" t="str">
        <f t="shared" si="43"/>
        <v>Q4</v>
      </c>
      <c r="V666" t="str">
        <f t="shared" si="44"/>
        <v>Completed</v>
      </c>
    </row>
    <row r="667" spans="1:22" x14ac:dyDescent="0.3">
      <c r="A667" s="2">
        <v>666</v>
      </c>
      <c r="B667" s="1">
        <v>46323</v>
      </c>
      <c r="C667" s="2" t="s">
        <v>5</v>
      </c>
      <c r="D667">
        <v>4409</v>
      </c>
      <c r="E667">
        <v>3457</v>
      </c>
      <c r="F667">
        <v>542</v>
      </c>
      <c r="G667">
        <v>3948</v>
      </c>
      <c r="H667">
        <v>2917</v>
      </c>
      <c r="I667">
        <v>0.235083499</v>
      </c>
      <c r="J667">
        <v>2.002526268</v>
      </c>
      <c r="K667">
        <v>3176</v>
      </c>
      <c r="L667">
        <v>1564</v>
      </c>
      <c r="M667" s="2">
        <v>8</v>
      </c>
      <c r="N667">
        <v>1.526973637</v>
      </c>
      <c r="O667">
        <v>0.88048366700000003</v>
      </c>
      <c r="P667" t="b">
        <v>0</v>
      </c>
      <c r="Q667">
        <v>0.879599346</v>
      </c>
      <c r="R667" s="2">
        <v>1</v>
      </c>
      <c r="S667" s="2" t="str">
        <f t="shared" si="41"/>
        <v>Oct</v>
      </c>
      <c r="T667">
        <f t="shared" si="42"/>
        <v>2026</v>
      </c>
      <c r="U667" s="2" t="str">
        <f t="shared" si="43"/>
        <v>Q4</v>
      </c>
      <c r="V667" t="str">
        <f t="shared" si="44"/>
        <v>Completed</v>
      </c>
    </row>
    <row r="668" spans="1:22" x14ac:dyDescent="0.3">
      <c r="A668" s="2">
        <v>667</v>
      </c>
      <c r="B668" s="1">
        <v>46324</v>
      </c>
      <c r="C668" s="2" t="s">
        <v>17</v>
      </c>
      <c r="D668">
        <v>2581</v>
      </c>
      <c r="E668">
        <v>3502</v>
      </c>
      <c r="F668">
        <v>297</v>
      </c>
      <c r="G668">
        <v>4886</v>
      </c>
      <c r="H668">
        <v>1443</v>
      </c>
      <c r="I668">
        <v>0.383483301</v>
      </c>
      <c r="J668">
        <v>1.5997016559999999</v>
      </c>
      <c r="K668">
        <v>2332</v>
      </c>
      <c r="L668">
        <v>461</v>
      </c>
      <c r="M668" s="2">
        <v>3</v>
      </c>
      <c r="N668">
        <v>1.092151713</v>
      </c>
      <c r="O668">
        <v>0.91826422799999996</v>
      </c>
      <c r="P668" t="b">
        <v>0</v>
      </c>
      <c r="Q668">
        <v>0.50592804599999996</v>
      </c>
      <c r="R668" s="2">
        <v>1</v>
      </c>
      <c r="S668" s="2" t="str">
        <f t="shared" si="41"/>
        <v>Oct</v>
      </c>
      <c r="T668">
        <f t="shared" si="42"/>
        <v>2026</v>
      </c>
      <c r="U668" s="2" t="str">
        <f t="shared" si="43"/>
        <v>Q4</v>
      </c>
      <c r="V668" t="str">
        <f t="shared" si="44"/>
        <v>Completed</v>
      </c>
    </row>
    <row r="669" spans="1:22" x14ac:dyDescent="0.3">
      <c r="A669" s="2">
        <v>668</v>
      </c>
      <c r="B669" s="1">
        <v>46325</v>
      </c>
      <c r="C669" s="2" t="s">
        <v>5</v>
      </c>
      <c r="D669">
        <v>714</v>
      </c>
      <c r="E669">
        <v>1895</v>
      </c>
      <c r="F669">
        <v>3468</v>
      </c>
      <c r="G669">
        <v>3342</v>
      </c>
      <c r="H669">
        <v>1004</v>
      </c>
      <c r="I669">
        <v>0.47792984999999999</v>
      </c>
      <c r="J669">
        <v>0.69061335199999996</v>
      </c>
      <c r="K669">
        <v>3771</v>
      </c>
      <c r="L669">
        <v>2614</v>
      </c>
      <c r="M669" s="2">
        <v>4</v>
      </c>
      <c r="N669">
        <v>1.7821251170000001</v>
      </c>
      <c r="O669">
        <v>0.97892417899999995</v>
      </c>
      <c r="P669" t="b">
        <v>0</v>
      </c>
      <c r="Q669">
        <v>0.124284546</v>
      </c>
      <c r="R669" s="2">
        <v>1</v>
      </c>
      <c r="S669" s="2" t="str">
        <f t="shared" si="41"/>
        <v>Oct</v>
      </c>
      <c r="T669">
        <f t="shared" si="42"/>
        <v>2026</v>
      </c>
      <c r="U669" s="2" t="str">
        <f t="shared" si="43"/>
        <v>Q4</v>
      </c>
      <c r="V669" t="str">
        <f t="shared" si="44"/>
        <v>Completed</v>
      </c>
    </row>
    <row r="670" spans="1:22" x14ac:dyDescent="0.3">
      <c r="A670" s="2">
        <v>669</v>
      </c>
      <c r="B670" s="1">
        <v>46326</v>
      </c>
      <c r="C670" s="2" t="s">
        <v>18</v>
      </c>
      <c r="D670">
        <v>2923</v>
      </c>
      <c r="E670">
        <v>3818</v>
      </c>
      <c r="F670">
        <v>2742</v>
      </c>
      <c r="G670">
        <v>3536</v>
      </c>
      <c r="H670">
        <v>3381</v>
      </c>
      <c r="I670">
        <v>0.34179022399999998</v>
      </c>
      <c r="J670">
        <v>2.706140086</v>
      </c>
      <c r="K670">
        <v>3695</v>
      </c>
      <c r="L670">
        <v>870</v>
      </c>
      <c r="M670" s="2">
        <v>9</v>
      </c>
      <c r="N670">
        <v>0.58216498400000005</v>
      </c>
      <c r="O670">
        <v>0.835194989</v>
      </c>
      <c r="P670" t="b">
        <v>0</v>
      </c>
      <c r="Q670">
        <v>0.57583810300000005</v>
      </c>
      <c r="R670" s="2">
        <v>1</v>
      </c>
      <c r="S670" s="2" t="str">
        <f t="shared" si="41"/>
        <v>Oct</v>
      </c>
      <c r="T670">
        <f t="shared" si="42"/>
        <v>2026</v>
      </c>
      <c r="U670" s="2" t="str">
        <f t="shared" si="43"/>
        <v>Q4</v>
      </c>
      <c r="V670" t="str">
        <f t="shared" si="44"/>
        <v>Completed</v>
      </c>
    </row>
    <row r="671" spans="1:22" x14ac:dyDescent="0.3">
      <c r="A671" s="2">
        <v>670</v>
      </c>
      <c r="B671" s="1">
        <v>46327</v>
      </c>
      <c r="C671" s="2" t="s">
        <v>17</v>
      </c>
      <c r="D671">
        <v>565</v>
      </c>
      <c r="E671">
        <v>2440</v>
      </c>
      <c r="F671">
        <v>3420</v>
      </c>
      <c r="G671">
        <v>3778</v>
      </c>
      <c r="H671">
        <v>3223</v>
      </c>
      <c r="I671">
        <v>0.69765139200000004</v>
      </c>
      <c r="J671">
        <v>2.1671814180000002</v>
      </c>
      <c r="K671">
        <v>4411</v>
      </c>
      <c r="L671">
        <v>2728</v>
      </c>
      <c r="M671" s="2">
        <v>5</v>
      </c>
      <c r="N671">
        <v>1.1855164010000001</v>
      </c>
      <c r="O671">
        <v>0.90395840500000002</v>
      </c>
      <c r="P671" t="b">
        <v>0</v>
      </c>
      <c r="Q671">
        <v>9.3826655999999994E-2</v>
      </c>
      <c r="R671" s="2">
        <v>1</v>
      </c>
      <c r="S671" s="2" t="str">
        <f t="shared" si="41"/>
        <v>Nov</v>
      </c>
      <c r="T671">
        <f t="shared" si="42"/>
        <v>2026</v>
      </c>
      <c r="U671" s="2" t="str">
        <f t="shared" si="43"/>
        <v>Q4</v>
      </c>
      <c r="V671" t="str">
        <f t="shared" si="44"/>
        <v>Completed</v>
      </c>
    </row>
    <row r="672" spans="1:22" x14ac:dyDescent="0.3">
      <c r="A672" s="2">
        <v>671</v>
      </c>
      <c r="B672" s="1">
        <v>46328</v>
      </c>
      <c r="C672" s="2" t="s">
        <v>5</v>
      </c>
      <c r="D672">
        <v>4747</v>
      </c>
      <c r="E672">
        <v>829</v>
      </c>
      <c r="F672">
        <v>3615</v>
      </c>
      <c r="G672">
        <v>1652</v>
      </c>
      <c r="H672">
        <v>183</v>
      </c>
      <c r="I672">
        <v>0.65952211599999999</v>
      </c>
      <c r="J672">
        <v>2.1291752559999999</v>
      </c>
      <c r="K672">
        <v>975</v>
      </c>
      <c r="L672">
        <v>213</v>
      </c>
      <c r="M672" s="2">
        <v>5</v>
      </c>
      <c r="N672">
        <v>0.73317075099999995</v>
      </c>
      <c r="O672">
        <v>0.83290892999999999</v>
      </c>
      <c r="P672" t="b">
        <v>0</v>
      </c>
      <c r="Q672">
        <v>0.94869174199999995</v>
      </c>
      <c r="R672" s="2">
        <v>1</v>
      </c>
      <c r="S672" s="2" t="str">
        <f t="shared" si="41"/>
        <v>Nov</v>
      </c>
      <c r="T672">
        <f t="shared" si="42"/>
        <v>2026</v>
      </c>
      <c r="U672" s="2" t="str">
        <f t="shared" si="43"/>
        <v>Q4</v>
      </c>
      <c r="V672" t="str">
        <f t="shared" si="44"/>
        <v>Completed</v>
      </c>
    </row>
    <row r="673" spans="1:22" x14ac:dyDescent="0.3">
      <c r="A673" s="2">
        <v>672</v>
      </c>
      <c r="B673" s="1">
        <v>46329</v>
      </c>
      <c r="C673" s="2" t="s">
        <v>18</v>
      </c>
      <c r="D673">
        <v>1399</v>
      </c>
      <c r="E673">
        <v>3555</v>
      </c>
      <c r="F673">
        <v>3598</v>
      </c>
      <c r="G673">
        <v>3993</v>
      </c>
      <c r="H673">
        <v>2772</v>
      </c>
      <c r="I673">
        <v>0.38569354099999997</v>
      </c>
      <c r="J673">
        <v>2.2878850709999998</v>
      </c>
      <c r="K673">
        <v>4903</v>
      </c>
      <c r="L673">
        <v>3303</v>
      </c>
      <c r="M673" s="2">
        <v>5</v>
      </c>
      <c r="N673">
        <v>1.4375420880000001</v>
      </c>
      <c r="O673">
        <v>0.92908195999999998</v>
      </c>
      <c r="P673" t="b">
        <v>0</v>
      </c>
      <c r="Q673">
        <v>0.26430907599999998</v>
      </c>
      <c r="R673" s="2">
        <v>1</v>
      </c>
      <c r="S673" s="2" t="str">
        <f t="shared" si="41"/>
        <v>Nov</v>
      </c>
      <c r="T673">
        <f t="shared" si="42"/>
        <v>2026</v>
      </c>
      <c r="U673" s="2" t="str">
        <f t="shared" si="43"/>
        <v>Q4</v>
      </c>
      <c r="V673" t="str">
        <f t="shared" si="44"/>
        <v>Completed</v>
      </c>
    </row>
    <row r="674" spans="1:22" x14ac:dyDescent="0.3">
      <c r="A674" s="2">
        <v>673</v>
      </c>
      <c r="B674" s="1">
        <v>46330</v>
      </c>
      <c r="C674" s="2" t="s">
        <v>16</v>
      </c>
      <c r="D674">
        <v>4786</v>
      </c>
      <c r="E674">
        <v>2912</v>
      </c>
      <c r="F674">
        <v>1041</v>
      </c>
      <c r="G674">
        <v>3857</v>
      </c>
      <c r="H674">
        <v>1691</v>
      </c>
      <c r="I674">
        <v>0.66903104099999999</v>
      </c>
      <c r="J674">
        <v>1.9992809220000001</v>
      </c>
      <c r="K674">
        <v>1550</v>
      </c>
      <c r="L674">
        <v>2323</v>
      </c>
      <c r="M674" s="2">
        <v>2</v>
      </c>
      <c r="N674">
        <v>0.54869831099999999</v>
      </c>
      <c r="O674">
        <v>0.96962351700000005</v>
      </c>
      <c r="P674" t="b">
        <v>0</v>
      </c>
      <c r="Q674">
        <v>0.95666394099999996</v>
      </c>
      <c r="R674" s="2">
        <v>1</v>
      </c>
      <c r="S674" s="2" t="str">
        <f t="shared" si="41"/>
        <v>Nov</v>
      </c>
      <c r="T674">
        <f t="shared" si="42"/>
        <v>2026</v>
      </c>
      <c r="U674" s="2" t="str">
        <f t="shared" si="43"/>
        <v>Q4</v>
      </c>
      <c r="V674" t="str">
        <f t="shared" si="44"/>
        <v>Completed</v>
      </c>
    </row>
    <row r="675" spans="1:22" x14ac:dyDescent="0.3">
      <c r="A675" s="2">
        <v>674</v>
      </c>
      <c r="B675" s="1">
        <v>46331</v>
      </c>
      <c r="C675" s="2" t="s">
        <v>18</v>
      </c>
      <c r="D675">
        <v>1453</v>
      </c>
      <c r="E675">
        <v>1393</v>
      </c>
      <c r="F675">
        <v>3251</v>
      </c>
      <c r="G675">
        <v>3689</v>
      </c>
      <c r="H675">
        <v>3584</v>
      </c>
      <c r="I675">
        <v>0.60482502100000002</v>
      </c>
      <c r="J675">
        <v>1.929803725</v>
      </c>
      <c r="K675">
        <v>1794</v>
      </c>
      <c r="L675">
        <v>367</v>
      </c>
      <c r="M675" s="2">
        <v>6</v>
      </c>
      <c r="N675">
        <v>1.2107759600000001</v>
      </c>
      <c r="O675">
        <v>0.96059828199999997</v>
      </c>
      <c r="P675" t="b">
        <v>0</v>
      </c>
      <c r="Q675">
        <v>0.27534750600000002</v>
      </c>
      <c r="R675" s="2">
        <v>1</v>
      </c>
      <c r="S675" s="2" t="str">
        <f t="shared" si="41"/>
        <v>Nov</v>
      </c>
      <c r="T675">
        <f t="shared" si="42"/>
        <v>2026</v>
      </c>
      <c r="U675" s="2" t="str">
        <f t="shared" si="43"/>
        <v>Q4</v>
      </c>
      <c r="V675" t="str">
        <f t="shared" si="44"/>
        <v>Completed</v>
      </c>
    </row>
    <row r="676" spans="1:22" x14ac:dyDescent="0.3">
      <c r="A676" s="2">
        <v>675</v>
      </c>
      <c r="B676" s="1">
        <v>46332</v>
      </c>
      <c r="C676" s="2" t="s">
        <v>18</v>
      </c>
      <c r="D676">
        <v>4269</v>
      </c>
      <c r="E676">
        <v>3748</v>
      </c>
      <c r="F676">
        <v>3723</v>
      </c>
      <c r="G676">
        <v>1519</v>
      </c>
      <c r="H676">
        <v>2276</v>
      </c>
      <c r="I676">
        <v>0.37171346199999999</v>
      </c>
      <c r="J676">
        <v>0.667821043</v>
      </c>
      <c r="K676">
        <v>3848</v>
      </c>
      <c r="L676">
        <v>636</v>
      </c>
      <c r="M676" s="2">
        <v>8</v>
      </c>
      <c r="N676">
        <v>1.6086699280000001</v>
      </c>
      <c r="O676">
        <v>0.88966805000000004</v>
      </c>
      <c r="P676" t="b">
        <v>0</v>
      </c>
      <c r="Q676">
        <v>0.85098119400000005</v>
      </c>
      <c r="R676" s="2">
        <v>1</v>
      </c>
      <c r="S676" s="2" t="str">
        <f t="shared" si="41"/>
        <v>Nov</v>
      </c>
      <c r="T676">
        <f t="shared" si="42"/>
        <v>2026</v>
      </c>
      <c r="U676" s="2" t="str">
        <f t="shared" si="43"/>
        <v>Q4</v>
      </c>
      <c r="V676" t="str">
        <f t="shared" si="44"/>
        <v>Completed</v>
      </c>
    </row>
    <row r="677" spans="1:22" x14ac:dyDescent="0.3">
      <c r="A677" s="2">
        <v>676</v>
      </c>
      <c r="B677" s="1">
        <v>46333</v>
      </c>
      <c r="C677" s="2" t="s">
        <v>17</v>
      </c>
      <c r="D677">
        <v>4826</v>
      </c>
      <c r="E677">
        <v>2723</v>
      </c>
      <c r="F677">
        <v>3995</v>
      </c>
      <c r="G677">
        <v>606</v>
      </c>
      <c r="H677">
        <v>2326</v>
      </c>
      <c r="I677">
        <v>0.537625503</v>
      </c>
      <c r="J677">
        <v>2.1680572159999998</v>
      </c>
      <c r="K677">
        <v>247</v>
      </c>
      <c r="L677">
        <v>3497</v>
      </c>
      <c r="M677" s="2">
        <v>9</v>
      </c>
      <c r="N677">
        <v>1.37977539</v>
      </c>
      <c r="O677">
        <v>0.97490727300000002</v>
      </c>
      <c r="P677" t="b">
        <v>1</v>
      </c>
      <c r="Q677">
        <v>0.96484055599999996</v>
      </c>
      <c r="R677" s="2">
        <v>0</v>
      </c>
      <c r="S677" s="2" t="str">
        <f t="shared" si="41"/>
        <v>Nov</v>
      </c>
      <c r="T677">
        <f t="shared" si="42"/>
        <v>2026</v>
      </c>
      <c r="U677" s="2" t="str">
        <f t="shared" si="43"/>
        <v>Q4</v>
      </c>
      <c r="V677" t="str">
        <f t="shared" si="44"/>
        <v>Completed</v>
      </c>
    </row>
    <row r="678" spans="1:22" x14ac:dyDescent="0.3">
      <c r="A678" s="2">
        <v>677</v>
      </c>
      <c r="B678" s="1">
        <v>46334</v>
      </c>
      <c r="C678" s="2" t="s">
        <v>16</v>
      </c>
      <c r="D678">
        <v>261</v>
      </c>
      <c r="E678">
        <v>2748</v>
      </c>
      <c r="F678">
        <v>2421</v>
      </c>
      <c r="G678">
        <v>1657</v>
      </c>
      <c r="H678">
        <v>3082</v>
      </c>
      <c r="I678">
        <v>0.28637987300000001</v>
      </c>
      <c r="J678">
        <v>2.9453407390000002</v>
      </c>
      <c r="K678">
        <v>171</v>
      </c>
      <c r="L678">
        <v>258</v>
      </c>
      <c r="M678" s="2">
        <v>9</v>
      </c>
      <c r="N678">
        <v>0.76953745299999998</v>
      </c>
      <c r="O678">
        <v>0.80358431699999999</v>
      </c>
      <c r="P678" t="b">
        <v>0</v>
      </c>
      <c r="Q678">
        <v>3.1684383000000003E-2</v>
      </c>
      <c r="R678" s="2">
        <v>1</v>
      </c>
      <c r="S678" s="2" t="str">
        <f t="shared" si="41"/>
        <v>Nov</v>
      </c>
      <c r="T678">
        <f t="shared" si="42"/>
        <v>2026</v>
      </c>
      <c r="U678" s="2" t="str">
        <f t="shared" si="43"/>
        <v>Q4</v>
      </c>
      <c r="V678" t="str">
        <f t="shared" si="44"/>
        <v>Failed</v>
      </c>
    </row>
    <row r="679" spans="1:22" x14ac:dyDescent="0.3">
      <c r="A679" s="2">
        <v>678</v>
      </c>
      <c r="B679" s="1">
        <v>46335</v>
      </c>
      <c r="C679" s="2" t="s">
        <v>17</v>
      </c>
      <c r="D679">
        <v>145</v>
      </c>
      <c r="E679">
        <v>1281</v>
      </c>
      <c r="F679">
        <v>1787</v>
      </c>
      <c r="G679">
        <v>4251</v>
      </c>
      <c r="H679">
        <v>1114</v>
      </c>
      <c r="I679">
        <v>0.694494061</v>
      </c>
      <c r="J679">
        <v>1.8628015120000001</v>
      </c>
      <c r="K679">
        <v>3631</v>
      </c>
      <c r="L679">
        <v>1358</v>
      </c>
      <c r="M679" s="2">
        <v>9</v>
      </c>
      <c r="N679">
        <v>1.954476892</v>
      </c>
      <c r="O679">
        <v>0.83170755399999996</v>
      </c>
      <c r="P679" t="b">
        <v>0</v>
      </c>
      <c r="Q679">
        <v>7.9722000000000005E-3</v>
      </c>
      <c r="R679" s="2">
        <v>0</v>
      </c>
      <c r="S679" s="2" t="str">
        <f t="shared" si="41"/>
        <v>Nov</v>
      </c>
      <c r="T679">
        <f t="shared" si="42"/>
        <v>2026</v>
      </c>
      <c r="U679" s="2" t="str">
        <f t="shared" si="43"/>
        <v>Q4</v>
      </c>
      <c r="V679" t="str">
        <f t="shared" si="44"/>
        <v>Completed</v>
      </c>
    </row>
    <row r="680" spans="1:22" x14ac:dyDescent="0.3">
      <c r="A680" s="2">
        <v>679</v>
      </c>
      <c r="B680" s="1">
        <v>46336</v>
      </c>
      <c r="C680" s="2" t="s">
        <v>5</v>
      </c>
      <c r="D680">
        <v>2109</v>
      </c>
      <c r="E680">
        <v>3656</v>
      </c>
      <c r="F680">
        <v>1117</v>
      </c>
      <c r="G680">
        <v>2629</v>
      </c>
      <c r="H680">
        <v>934</v>
      </c>
      <c r="I680">
        <v>0.36939507399999999</v>
      </c>
      <c r="J680">
        <v>1.228597502</v>
      </c>
      <c r="K680">
        <v>4090</v>
      </c>
      <c r="L680">
        <v>754</v>
      </c>
      <c r="M680" s="2">
        <v>5</v>
      </c>
      <c r="N680">
        <v>1.557029497</v>
      </c>
      <c r="O680">
        <v>0.95957487200000002</v>
      </c>
      <c r="P680" t="b">
        <v>0</v>
      </c>
      <c r="Q680">
        <v>0.40944398999999998</v>
      </c>
      <c r="R680" s="2">
        <v>1</v>
      </c>
      <c r="S680" s="2" t="str">
        <f t="shared" si="41"/>
        <v>Nov</v>
      </c>
      <c r="T680">
        <f t="shared" si="42"/>
        <v>2026</v>
      </c>
      <c r="U680" s="2" t="str">
        <f t="shared" si="43"/>
        <v>Q4</v>
      </c>
      <c r="V680" t="str">
        <f t="shared" si="44"/>
        <v>Failed</v>
      </c>
    </row>
    <row r="681" spans="1:22" x14ac:dyDescent="0.3">
      <c r="A681" s="2">
        <v>680</v>
      </c>
      <c r="B681" s="1">
        <v>46337</v>
      </c>
      <c r="C681" s="2" t="s">
        <v>16</v>
      </c>
      <c r="D681">
        <v>4689</v>
      </c>
      <c r="E681">
        <v>2433</v>
      </c>
      <c r="F681">
        <v>661</v>
      </c>
      <c r="G681">
        <v>2006</v>
      </c>
      <c r="H681">
        <v>3447</v>
      </c>
      <c r="I681">
        <v>0.241917045</v>
      </c>
      <c r="J681">
        <v>2.4246235089999999</v>
      </c>
      <c r="K681">
        <v>4024</v>
      </c>
      <c r="L681">
        <v>304</v>
      </c>
      <c r="M681" s="2">
        <v>8</v>
      </c>
      <c r="N681">
        <v>1.834122421</v>
      </c>
      <c r="O681">
        <v>0.94548446200000003</v>
      </c>
      <c r="P681" t="b">
        <v>0</v>
      </c>
      <c r="Q681">
        <v>0.93683565000000002</v>
      </c>
      <c r="R681" s="2">
        <v>1</v>
      </c>
      <c r="S681" s="2" t="str">
        <f t="shared" si="41"/>
        <v>Nov</v>
      </c>
      <c r="T681">
        <f t="shared" si="42"/>
        <v>2026</v>
      </c>
      <c r="U681" s="2" t="str">
        <f t="shared" si="43"/>
        <v>Q4</v>
      </c>
      <c r="V681" t="str">
        <f t="shared" si="44"/>
        <v>Completed</v>
      </c>
    </row>
    <row r="682" spans="1:22" x14ac:dyDescent="0.3">
      <c r="A682" s="2">
        <v>681</v>
      </c>
      <c r="B682" s="1">
        <v>46338</v>
      </c>
      <c r="C682" s="2" t="s">
        <v>17</v>
      </c>
      <c r="D682">
        <v>3599</v>
      </c>
      <c r="E682">
        <v>3713</v>
      </c>
      <c r="F682">
        <v>1286</v>
      </c>
      <c r="G682">
        <v>2596</v>
      </c>
      <c r="H682">
        <v>3370</v>
      </c>
      <c r="I682">
        <v>0.47537558600000002</v>
      </c>
      <c r="J682">
        <v>0.95781883800000001</v>
      </c>
      <c r="K682">
        <v>3874</v>
      </c>
      <c r="L682">
        <v>101</v>
      </c>
      <c r="M682" s="2">
        <v>9</v>
      </c>
      <c r="N682">
        <v>0.97110757800000003</v>
      </c>
      <c r="O682">
        <v>0.93428725000000001</v>
      </c>
      <c r="P682" t="b">
        <v>0</v>
      </c>
      <c r="Q682">
        <v>0.71402289500000005</v>
      </c>
      <c r="R682" s="2">
        <v>0</v>
      </c>
      <c r="S682" s="2" t="str">
        <f t="shared" si="41"/>
        <v>Nov</v>
      </c>
      <c r="T682">
        <f t="shared" si="42"/>
        <v>2026</v>
      </c>
      <c r="U682" s="2" t="str">
        <f t="shared" si="43"/>
        <v>Q4</v>
      </c>
      <c r="V682" t="str">
        <f t="shared" si="44"/>
        <v>Completed</v>
      </c>
    </row>
    <row r="683" spans="1:22" x14ac:dyDescent="0.3">
      <c r="A683" s="2">
        <v>682</v>
      </c>
      <c r="B683" s="1">
        <v>46339</v>
      </c>
      <c r="C683" s="2" t="s">
        <v>18</v>
      </c>
      <c r="D683">
        <v>2069</v>
      </c>
      <c r="E683">
        <v>2256</v>
      </c>
      <c r="F683">
        <v>1839</v>
      </c>
      <c r="G683">
        <v>1884</v>
      </c>
      <c r="H683">
        <v>2442</v>
      </c>
      <c r="I683">
        <v>0.32902603800000002</v>
      </c>
      <c r="J683">
        <v>2.1188899550000002</v>
      </c>
      <c r="K683">
        <v>2452</v>
      </c>
      <c r="L683">
        <v>2884</v>
      </c>
      <c r="M683" s="2">
        <v>6</v>
      </c>
      <c r="N683">
        <v>1.9046631000000001</v>
      </c>
      <c r="O683">
        <v>0.80139202200000004</v>
      </c>
      <c r="P683" t="b">
        <v>0</v>
      </c>
      <c r="Q683">
        <v>0.40126737499999998</v>
      </c>
      <c r="R683" s="2">
        <v>1</v>
      </c>
      <c r="S683" s="2" t="str">
        <f t="shared" si="41"/>
        <v>Nov</v>
      </c>
      <c r="T683">
        <f t="shared" si="42"/>
        <v>2026</v>
      </c>
      <c r="U683" s="2" t="str">
        <f t="shared" si="43"/>
        <v>Q4</v>
      </c>
      <c r="V683" t="str">
        <f t="shared" si="44"/>
        <v>Failed</v>
      </c>
    </row>
    <row r="684" spans="1:22" x14ac:dyDescent="0.3">
      <c r="A684" s="2">
        <v>683</v>
      </c>
      <c r="B684" s="1">
        <v>46340</v>
      </c>
      <c r="C684" s="2" t="s">
        <v>5</v>
      </c>
      <c r="D684">
        <v>3387</v>
      </c>
      <c r="E684">
        <v>3561</v>
      </c>
      <c r="F684">
        <v>1673</v>
      </c>
      <c r="G684">
        <v>1680</v>
      </c>
      <c r="H684">
        <v>2156</v>
      </c>
      <c r="I684">
        <v>0.73159717199999996</v>
      </c>
      <c r="J684">
        <v>1.980466002</v>
      </c>
      <c r="K684">
        <v>3601</v>
      </c>
      <c r="L684">
        <v>627</v>
      </c>
      <c r="M684" s="2">
        <v>5</v>
      </c>
      <c r="N684">
        <v>1.1137860369999999</v>
      </c>
      <c r="O684">
        <v>0.91021640000000004</v>
      </c>
      <c r="P684" t="b">
        <v>0</v>
      </c>
      <c r="Q684">
        <v>0.67068683600000001</v>
      </c>
      <c r="R684" s="2">
        <v>1</v>
      </c>
      <c r="S684" s="2" t="str">
        <f t="shared" si="41"/>
        <v>Nov</v>
      </c>
      <c r="T684">
        <f t="shared" si="42"/>
        <v>2026</v>
      </c>
      <c r="U684" s="2" t="str">
        <f t="shared" si="43"/>
        <v>Q4</v>
      </c>
      <c r="V684" t="str">
        <f t="shared" si="44"/>
        <v>Completed</v>
      </c>
    </row>
    <row r="685" spans="1:22" x14ac:dyDescent="0.3">
      <c r="A685" s="2">
        <v>684</v>
      </c>
      <c r="B685" s="1">
        <v>46341</v>
      </c>
      <c r="C685" s="2" t="s">
        <v>5</v>
      </c>
      <c r="D685">
        <v>735</v>
      </c>
      <c r="E685">
        <v>4475</v>
      </c>
      <c r="F685">
        <v>2373</v>
      </c>
      <c r="G685">
        <v>2486</v>
      </c>
      <c r="H685">
        <v>1073</v>
      </c>
      <c r="I685">
        <v>0.39557323999999999</v>
      </c>
      <c r="J685">
        <v>1.100180522</v>
      </c>
      <c r="K685">
        <v>3611</v>
      </c>
      <c r="L685">
        <v>849</v>
      </c>
      <c r="M685" s="2">
        <v>7</v>
      </c>
      <c r="N685">
        <v>1.7314110739999999</v>
      </c>
      <c r="O685">
        <v>0.94658585900000003</v>
      </c>
      <c r="P685" t="b">
        <v>0</v>
      </c>
      <c r="Q685">
        <v>0.12857726899999999</v>
      </c>
      <c r="R685" s="2">
        <v>1</v>
      </c>
      <c r="S685" s="2" t="str">
        <f t="shared" si="41"/>
        <v>Nov</v>
      </c>
      <c r="T685">
        <f t="shared" si="42"/>
        <v>2026</v>
      </c>
      <c r="U685" s="2" t="str">
        <f t="shared" si="43"/>
        <v>Q4</v>
      </c>
      <c r="V685" t="str">
        <f t="shared" si="44"/>
        <v>Completed</v>
      </c>
    </row>
    <row r="686" spans="1:22" x14ac:dyDescent="0.3">
      <c r="A686" s="2">
        <v>685</v>
      </c>
      <c r="B686" s="1">
        <v>46342</v>
      </c>
      <c r="C686" s="2" t="s">
        <v>17</v>
      </c>
      <c r="D686">
        <v>862</v>
      </c>
      <c r="E686">
        <v>2656</v>
      </c>
      <c r="F686">
        <v>3745</v>
      </c>
      <c r="G686">
        <v>2598</v>
      </c>
      <c r="H686">
        <v>3198</v>
      </c>
      <c r="I686">
        <v>0.78459642699999999</v>
      </c>
      <c r="J686">
        <v>1.690628107</v>
      </c>
      <c r="K686">
        <v>4466</v>
      </c>
      <c r="L686">
        <v>3644</v>
      </c>
      <c r="M686" s="2">
        <v>2</v>
      </c>
      <c r="N686">
        <v>0.76893091899999999</v>
      </c>
      <c r="O686">
        <v>0.904348229</v>
      </c>
      <c r="P686" t="b">
        <v>0</v>
      </c>
      <c r="Q686">
        <v>0.154538021</v>
      </c>
      <c r="R686" s="2">
        <v>1</v>
      </c>
      <c r="S686" s="2" t="str">
        <f t="shared" si="41"/>
        <v>Nov</v>
      </c>
      <c r="T686">
        <f t="shared" si="42"/>
        <v>2026</v>
      </c>
      <c r="U686" s="2" t="str">
        <f t="shared" si="43"/>
        <v>Q4</v>
      </c>
      <c r="V686" t="str">
        <f t="shared" si="44"/>
        <v>Completed</v>
      </c>
    </row>
    <row r="687" spans="1:22" x14ac:dyDescent="0.3">
      <c r="A687" s="2">
        <v>686</v>
      </c>
      <c r="B687" s="1">
        <v>46343</v>
      </c>
      <c r="C687" s="2" t="s">
        <v>5</v>
      </c>
      <c r="D687">
        <v>4608</v>
      </c>
      <c r="E687">
        <v>3315</v>
      </c>
      <c r="F687">
        <v>519</v>
      </c>
      <c r="G687">
        <v>1918</v>
      </c>
      <c r="H687">
        <v>3194</v>
      </c>
      <c r="I687">
        <v>0.79044321699999998</v>
      </c>
      <c r="J687">
        <v>1.070862354</v>
      </c>
      <c r="K687">
        <v>3772</v>
      </c>
      <c r="L687">
        <v>2115</v>
      </c>
      <c r="M687" s="2">
        <v>5</v>
      </c>
      <c r="N687">
        <v>1.11854995</v>
      </c>
      <c r="O687">
        <v>0.94188166500000003</v>
      </c>
      <c r="P687" t="b">
        <v>0</v>
      </c>
      <c r="Q687">
        <v>0.92027800500000001</v>
      </c>
      <c r="R687" s="2">
        <v>1</v>
      </c>
      <c r="S687" s="2" t="str">
        <f t="shared" si="41"/>
        <v>Nov</v>
      </c>
      <c r="T687">
        <f t="shared" si="42"/>
        <v>2026</v>
      </c>
      <c r="U687" s="2" t="str">
        <f t="shared" si="43"/>
        <v>Q4</v>
      </c>
      <c r="V687" t="str">
        <f t="shared" si="44"/>
        <v>Completed</v>
      </c>
    </row>
    <row r="688" spans="1:22" x14ac:dyDescent="0.3">
      <c r="A688" s="2">
        <v>687</v>
      </c>
      <c r="B688" s="1">
        <v>46344</v>
      </c>
      <c r="C688" s="2" t="s">
        <v>5</v>
      </c>
      <c r="D688">
        <v>1561</v>
      </c>
      <c r="E688">
        <v>1595</v>
      </c>
      <c r="F688">
        <v>2531</v>
      </c>
      <c r="G688">
        <v>4281</v>
      </c>
      <c r="H688">
        <v>411</v>
      </c>
      <c r="I688">
        <v>0.348266258</v>
      </c>
      <c r="J688">
        <v>2.1784264599999998</v>
      </c>
      <c r="K688">
        <v>2911</v>
      </c>
      <c r="L688">
        <v>1359</v>
      </c>
      <c r="M688" s="2">
        <v>1</v>
      </c>
      <c r="N688">
        <v>1.495420534</v>
      </c>
      <c r="O688">
        <v>0.89145738399999996</v>
      </c>
      <c r="P688" t="b">
        <v>1</v>
      </c>
      <c r="Q688">
        <v>0.297424366</v>
      </c>
      <c r="R688" s="2">
        <v>1</v>
      </c>
      <c r="S688" s="2" t="str">
        <f t="shared" si="41"/>
        <v>Nov</v>
      </c>
      <c r="T688">
        <f t="shared" si="42"/>
        <v>2026</v>
      </c>
      <c r="U688" s="2" t="str">
        <f t="shared" si="43"/>
        <v>Q4</v>
      </c>
      <c r="V688" t="str">
        <f t="shared" si="44"/>
        <v>Completed</v>
      </c>
    </row>
    <row r="689" spans="1:22" x14ac:dyDescent="0.3">
      <c r="A689" s="2">
        <v>688</v>
      </c>
      <c r="B689" s="1">
        <v>46345</v>
      </c>
      <c r="C689" s="2" t="s">
        <v>17</v>
      </c>
      <c r="D689">
        <v>316</v>
      </c>
      <c r="E689">
        <v>1273</v>
      </c>
      <c r="F689">
        <v>3238</v>
      </c>
      <c r="G689">
        <v>2591</v>
      </c>
      <c r="H689">
        <v>3100</v>
      </c>
      <c r="I689">
        <v>0.54070148799999995</v>
      </c>
      <c r="J689">
        <v>1.1648611369999999</v>
      </c>
      <c r="K689">
        <v>389</v>
      </c>
      <c r="L689">
        <v>2185</v>
      </c>
      <c r="M689" s="2">
        <v>9</v>
      </c>
      <c r="N689">
        <v>1.0480684229999999</v>
      </c>
      <c r="O689">
        <v>0.81983825600000004</v>
      </c>
      <c r="P689" t="b">
        <v>0</v>
      </c>
      <c r="Q689">
        <v>4.2927227999999998E-2</v>
      </c>
      <c r="R689" s="2">
        <v>1</v>
      </c>
      <c r="S689" s="2" t="str">
        <f t="shared" si="41"/>
        <v>Nov</v>
      </c>
      <c r="T689">
        <f t="shared" si="42"/>
        <v>2026</v>
      </c>
      <c r="U689" s="2" t="str">
        <f t="shared" si="43"/>
        <v>Q4</v>
      </c>
      <c r="V689" t="str">
        <f t="shared" si="44"/>
        <v>Completed</v>
      </c>
    </row>
    <row r="690" spans="1:22" x14ac:dyDescent="0.3">
      <c r="A690" s="2">
        <v>689</v>
      </c>
      <c r="B690" s="1">
        <v>46346</v>
      </c>
      <c r="C690" s="2" t="s">
        <v>16</v>
      </c>
      <c r="D690">
        <v>3772</v>
      </c>
      <c r="E690">
        <v>1337</v>
      </c>
      <c r="F690">
        <v>810</v>
      </c>
      <c r="G690">
        <v>2586</v>
      </c>
      <c r="H690">
        <v>1921</v>
      </c>
      <c r="I690">
        <v>0.43702970499999999</v>
      </c>
      <c r="J690">
        <v>2.6584477560000002</v>
      </c>
      <c r="K690">
        <v>4337</v>
      </c>
      <c r="L690">
        <v>3877</v>
      </c>
      <c r="M690" s="2">
        <v>2</v>
      </c>
      <c r="N690">
        <v>0.77824212000000004</v>
      </c>
      <c r="O690">
        <v>0.85762787399999996</v>
      </c>
      <c r="P690" t="b">
        <v>0</v>
      </c>
      <c r="Q690">
        <v>0.74938675399999999</v>
      </c>
      <c r="R690" s="2">
        <v>1</v>
      </c>
      <c r="S690" s="2" t="str">
        <f t="shared" si="41"/>
        <v>Nov</v>
      </c>
      <c r="T690">
        <f t="shared" si="42"/>
        <v>2026</v>
      </c>
      <c r="U690" s="2" t="str">
        <f t="shared" si="43"/>
        <v>Q4</v>
      </c>
      <c r="V690" t="str">
        <f t="shared" si="44"/>
        <v>Completed</v>
      </c>
    </row>
    <row r="691" spans="1:22" x14ac:dyDescent="0.3">
      <c r="A691" s="2">
        <v>690</v>
      </c>
      <c r="B691" s="1">
        <v>46347</v>
      </c>
      <c r="C691" s="2" t="s">
        <v>17</v>
      </c>
      <c r="D691">
        <v>2361</v>
      </c>
      <c r="E691">
        <v>2428</v>
      </c>
      <c r="F691">
        <v>2057</v>
      </c>
      <c r="G691">
        <v>1515</v>
      </c>
      <c r="H691">
        <v>3985</v>
      </c>
      <c r="I691">
        <v>0.56327170199999999</v>
      </c>
      <c r="J691">
        <v>2.9021141510000001</v>
      </c>
      <c r="K691">
        <v>4596</v>
      </c>
      <c r="L691">
        <v>283</v>
      </c>
      <c r="M691" s="2">
        <v>8</v>
      </c>
      <c r="N691">
        <v>0.95347309099999999</v>
      </c>
      <c r="O691">
        <v>0.95534295300000005</v>
      </c>
      <c r="P691" t="b">
        <v>0</v>
      </c>
      <c r="Q691">
        <v>0.46095666400000002</v>
      </c>
      <c r="R691" s="2">
        <v>1</v>
      </c>
      <c r="S691" s="2" t="str">
        <f t="shared" si="41"/>
        <v>Nov</v>
      </c>
      <c r="T691">
        <f t="shared" si="42"/>
        <v>2026</v>
      </c>
      <c r="U691" s="2" t="str">
        <f t="shared" si="43"/>
        <v>Q4</v>
      </c>
      <c r="V691" t="str">
        <f t="shared" si="44"/>
        <v>Completed</v>
      </c>
    </row>
    <row r="692" spans="1:22" x14ac:dyDescent="0.3">
      <c r="A692" s="2">
        <v>691</v>
      </c>
      <c r="B692" s="1">
        <v>46348</v>
      </c>
      <c r="C692" s="2" t="s">
        <v>18</v>
      </c>
      <c r="D692">
        <v>1592</v>
      </c>
      <c r="E692">
        <v>1886</v>
      </c>
      <c r="F692">
        <v>1799</v>
      </c>
      <c r="G692">
        <v>2643</v>
      </c>
      <c r="H692">
        <v>3190</v>
      </c>
      <c r="I692">
        <v>0.35852712199999998</v>
      </c>
      <c r="J692">
        <v>0.98106793599999997</v>
      </c>
      <c r="K692">
        <v>3708</v>
      </c>
      <c r="L692">
        <v>2590</v>
      </c>
      <c r="M692" s="2">
        <v>5</v>
      </c>
      <c r="N692">
        <v>1.7988283789999999</v>
      </c>
      <c r="O692">
        <v>0.87110580500000001</v>
      </c>
      <c r="P692" t="b">
        <v>0</v>
      </c>
      <c r="Q692">
        <v>0.30376124300000001</v>
      </c>
      <c r="R692" s="2">
        <v>1</v>
      </c>
      <c r="S692" s="2" t="str">
        <f t="shared" si="41"/>
        <v>Nov</v>
      </c>
      <c r="T692">
        <f t="shared" si="42"/>
        <v>2026</v>
      </c>
      <c r="U692" s="2" t="str">
        <f t="shared" si="43"/>
        <v>Q4</v>
      </c>
      <c r="V692" t="str">
        <f t="shared" si="44"/>
        <v>Completed</v>
      </c>
    </row>
    <row r="693" spans="1:22" x14ac:dyDescent="0.3">
      <c r="A693" s="2">
        <v>692</v>
      </c>
      <c r="B693" s="1">
        <v>46349</v>
      </c>
      <c r="C693" s="2" t="s">
        <v>18</v>
      </c>
      <c r="D693">
        <v>822</v>
      </c>
      <c r="E693">
        <v>968</v>
      </c>
      <c r="F693">
        <v>2975</v>
      </c>
      <c r="G693">
        <v>3266</v>
      </c>
      <c r="H693">
        <v>2016</v>
      </c>
      <c r="I693">
        <v>0.372334575</v>
      </c>
      <c r="J693">
        <v>0.65569770400000005</v>
      </c>
      <c r="K693">
        <v>1161</v>
      </c>
      <c r="L693">
        <v>3221</v>
      </c>
      <c r="M693" s="2">
        <v>6</v>
      </c>
      <c r="N693">
        <v>0.87648562699999999</v>
      </c>
      <c r="O693">
        <v>0.88950814499999997</v>
      </c>
      <c r="P693" t="b">
        <v>0</v>
      </c>
      <c r="Q693">
        <v>0.146361406</v>
      </c>
      <c r="R693" s="2">
        <v>1</v>
      </c>
      <c r="S693" s="2" t="str">
        <f t="shared" si="41"/>
        <v>Nov</v>
      </c>
      <c r="T693">
        <f t="shared" si="42"/>
        <v>2026</v>
      </c>
      <c r="U693" s="2" t="str">
        <f t="shared" si="43"/>
        <v>Q4</v>
      </c>
      <c r="V693" t="str">
        <f t="shared" si="44"/>
        <v>Completed</v>
      </c>
    </row>
    <row r="694" spans="1:22" x14ac:dyDescent="0.3">
      <c r="A694" s="2">
        <v>693</v>
      </c>
      <c r="B694" s="1">
        <v>46350</v>
      </c>
      <c r="C694" s="2" t="s">
        <v>18</v>
      </c>
      <c r="D694">
        <v>2488</v>
      </c>
      <c r="E694">
        <v>2135</v>
      </c>
      <c r="F694">
        <v>3452</v>
      </c>
      <c r="G694">
        <v>1682</v>
      </c>
      <c r="H694">
        <v>2412</v>
      </c>
      <c r="I694">
        <v>0.71350891100000002</v>
      </c>
      <c r="J694">
        <v>2.0243448119999998</v>
      </c>
      <c r="K694">
        <v>3429</v>
      </c>
      <c r="L694">
        <v>3906</v>
      </c>
      <c r="M694" s="2">
        <v>3</v>
      </c>
      <c r="N694">
        <v>0.92304318399999996</v>
      </c>
      <c r="O694">
        <v>0.85278799100000002</v>
      </c>
      <c r="P694" t="b">
        <v>0</v>
      </c>
      <c r="Q694">
        <v>0.48691741599999999</v>
      </c>
      <c r="R694" s="2">
        <v>1</v>
      </c>
      <c r="S694" s="2" t="str">
        <f t="shared" si="41"/>
        <v>Nov</v>
      </c>
      <c r="T694">
        <f t="shared" si="42"/>
        <v>2026</v>
      </c>
      <c r="U694" s="2" t="str">
        <f t="shared" si="43"/>
        <v>Q4</v>
      </c>
      <c r="V694" t="str">
        <f t="shared" si="44"/>
        <v>Completed</v>
      </c>
    </row>
    <row r="695" spans="1:22" x14ac:dyDescent="0.3">
      <c r="A695" s="2">
        <v>694</v>
      </c>
      <c r="B695" s="1">
        <v>46351</v>
      </c>
      <c r="C695" s="2" t="s">
        <v>5</v>
      </c>
      <c r="D695">
        <v>2270</v>
      </c>
      <c r="E695">
        <v>4422</v>
      </c>
      <c r="F695">
        <v>3797</v>
      </c>
      <c r="G695">
        <v>4986</v>
      </c>
      <c r="H695">
        <v>867</v>
      </c>
      <c r="I695">
        <v>0.73698389799999997</v>
      </c>
      <c r="J695">
        <v>2.4210714320000002</v>
      </c>
      <c r="K695">
        <v>1614</v>
      </c>
      <c r="L695">
        <v>3931</v>
      </c>
      <c r="M695" s="2">
        <v>4</v>
      </c>
      <c r="N695">
        <v>1.6639379480000001</v>
      </c>
      <c r="O695">
        <v>0.84333891500000002</v>
      </c>
      <c r="P695" t="b">
        <v>0</v>
      </c>
      <c r="Q695">
        <v>0.44235486499999999</v>
      </c>
      <c r="R695" s="2">
        <v>1</v>
      </c>
      <c r="S695" s="2" t="str">
        <f t="shared" si="41"/>
        <v>Nov</v>
      </c>
      <c r="T695">
        <f t="shared" si="42"/>
        <v>2026</v>
      </c>
      <c r="U695" s="2" t="str">
        <f t="shared" si="43"/>
        <v>Q4</v>
      </c>
      <c r="V695" t="str">
        <f t="shared" si="44"/>
        <v>Completed</v>
      </c>
    </row>
    <row r="696" spans="1:22" x14ac:dyDescent="0.3">
      <c r="A696" s="2">
        <v>695</v>
      </c>
      <c r="B696" s="1">
        <v>46352</v>
      </c>
      <c r="C696" s="2" t="s">
        <v>18</v>
      </c>
      <c r="D696">
        <v>4983</v>
      </c>
      <c r="E696">
        <v>1103</v>
      </c>
      <c r="F696">
        <v>204</v>
      </c>
      <c r="G696">
        <v>3251</v>
      </c>
      <c r="H696">
        <v>2744</v>
      </c>
      <c r="I696">
        <v>0.50027273400000005</v>
      </c>
      <c r="J696">
        <v>1.8939623640000001</v>
      </c>
      <c r="K696">
        <v>4913</v>
      </c>
      <c r="L696">
        <v>3321</v>
      </c>
      <c r="M696" s="2">
        <v>5</v>
      </c>
      <c r="N696">
        <v>1.1205370619999999</v>
      </c>
      <c r="O696">
        <v>0.95664669400000002</v>
      </c>
      <c r="P696" t="b">
        <v>0</v>
      </c>
      <c r="Q696">
        <v>0.99693376899999997</v>
      </c>
      <c r="R696" s="2">
        <v>1</v>
      </c>
      <c r="S696" s="2" t="str">
        <f t="shared" si="41"/>
        <v>Nov</v>
      </c>
      <c r="T696">
        <f t="shared" si="42"/>
        <v>2026</v>
      </c>
      <c r="U696" s="2" t="str">
        <f t="shared" si="43"/>
        <v>Q4</v>
      </c>
      <c r="V696" t="str">
        <f t="shared" si="44"/>
        <v>Completed</v>
      </c>
    </row>
    <row r="697" spans="1:22" x14ac:dyDescent="0.3">
      <c r="A697" s="2">
        <v>696</v>
      </c>
      <c r="B697" s="1">
        <v>46353</v>
      </c>
      <c r="C697" s="2" t="s">
        <v>5</v>
      </c>
      <c r="D697">
        <v>587</v>
      </c>
      <c r="E697">
        <v>631</v>
      </c>
      <c r="F697">
        <v>306</v>
      </c>
      <c r="G697">
        <v>1109</v>
      </c>
      <c r="H697">
        <v>103</v>
      </c>
      <c r="I697">
        <v>0.49734351399999999</v>
      </c>
      <c r="J697">
        <v>0.88603770400000004</v>
      </c>
      <c r="K697">
        <v>359</v>
      </c>
      <c r="L697">
        <v>3977</v>
      </c>
      <c r="M697" s="2">
        <v>8</v>
      </c>
      <c r="N697">
        <v>1.8842387890000001</v>
      </c>
      <c r="O697">
        <v>0.89604890500000001</v>
      </c>
      <c r="P697" t="b">
        <v>0</v>
      </c>
      <c r="Q697">
        <v>9.8323794000000006E-2</v>
      </c>
      <c r="R697" s="2">
        <v>1</v>
      </c>
      <c r="S697" s="2" t="str">
        <f t="shared" si="41"/>
        <v>Nov</v>
      </c>
      <c r="T697">
        <f t="shared" si="42"/>
        <v>2026</v>
      </c>
      <c r="U697" s="2" t="str">
        <f t="shared" si="43"/>
        <v>Q4</v>
      </c>
      <c r="V697" t="str">
        <f t="shared" si="44"/>
        <v>Completed</v>
      </c>
    </row>
    <row r="698" spans="1:22" x14ac:dyDescent="0.3">
      <c r="A698" s="2">
        <v>697</v>
      </c>
      <c r="B698" s="1">
        <v>46354</v>
      </c>
      <c r="C698" s="2" t="s">
        <v>5</v>
      </c>
      <c r="D698">
        <v>2927</v>
      </c>
      <c r="E698">
        <v>1918</v>
      </c>
      <c r="F698">
        <v>2580</v>
      </c>
      <c r="G698">
        <v>2839</v>
      </c>
      <c r="H698">
        <v>2414</v>
      </c>
      <c r="I698">
        <v>0.78483236999999995</v>
      </c>
      <c r="J698">
        <v>0.55759254199999997</v>
      </c>
      <c r="K698">
        <v>593</v>
      </c>
      <c r="L698">
        <v>3655</v>
      </c>
      <c r="M698" s="2">
        <v>1</v>
      </c>
      <c r="N698">
        <v>1.602202581</v>
      </c>
      <c r="O698">
        <v>0.99061885800000005</v>
      </c>
      <c r="P698" t="b">
        <v>0</v>
      </c>
      <c r="Q698">
        <v>0.57665576500000004</v>
      </c>
      <c r="R698" s="2">
        <v>1</v>
      </c>
      <c r="S698" s="2" t="str">
        <f t="shared" si="41"/>
        <v>Nov</v>
      </c>
      <c r="T698">
        <f t="shared" si="42"/>
        <v>2026</v>
      </c>
      <c r="U698" s="2" t="str">
        <f t="shared" si="43"/>
        <v>Q4</v>
      </c>
      <c r="V698" t="str">
        <f t="shared" si="44"/>
        <v>Completed</v>
      </c>
    </row>
    <row r="699" spans="1:22" x14ac:dyDescent="0.3">
      <c r="A699" s="2">
        <v>698</v>
      </c>
      <c r="B699" s="1">
        <v>46355</v>
      </c>
      <c r="C699" s="2" t="s">
        <v>5</v>
      </c>
      <c r="D699">
        <v>4293</v>
      </c>
      <c r="E699">
        <v>795</v>
      </c>
      <c r="F699">
        <v>1168</v>
      </c>
      <c r="G699">
        <v>1704</v>
      </c>
      <c r="H699">
        <v>385</v>
      </c>
      <c r="I699">
        <v>0.60375796500000001</v>
      </c>
      <c r="J699">
        <v>2.1267679720000001</v>
      </c>
      <c r="K699">
        <v>3804</v>
      </c>
      <c r="L699">
        <v>786</v>
      </c>
      <c r="M699" s="2">
        <v>1</v>
      </c>
      <c r="N699">
        <v>1.8941371060000001</v>
      </c>
      <c r="O699">
        <v>0.86856188700000003</v>
      </c>
      <c r="P699" t="b">
        <v>0</v>
      </c>
      <c r="Q699">
        <v>0.85588716300000001</v>
      </c>
      <c r="R699" s="2">
        <v>1</v>
      </c>
      <c r="S699" s="2" t="str">
        <f t="shared" si="41"/>
        <v>Nov</v>
      </c>
      <c r="T699">
        <f t="shared" si="42"/>
        <v>2026</v>
      </c>
      <c r="U699" s="2" t="str">
        <f t="shared" si="43"/>
        <v>Q4</v>
      </c>
      <c r="V699" t="str">
        <f t="shared" si="44"/>
        <v>Completed</v>
      </c>
    </row>
    <row r="700" spans="1:22" x14ac:dyDescent="0.3">
      <c r="A700" s="2">
        <v>699</v>
      </c>
      <c r="B700" s="1">
        <v>46356</v>
      </c>
      <c r="C700" s="2" t="s">
        <v>18</v>
      </c>
      <c r="D700">
        <v>3536</v>
      </c>
      <c r="E700">
        <v>2229</v>
      </c>
      <c r="F700">
        <v>1074</v>
      </c>
      <c r="G700">
        <v>2587</v>
      </c>
      <c r="H700">
        <v>1954</v>
      </c>
      <c r="I700">
        <v>0.50570007699999997</v>
      </c>
      <c r="J700">
        <v>2.2299743759999999</v>
      </c>
      <c r="K700">
        <v>1901</v>
      </c>
      <c r="L700">
        <v>1343</v>
      </c>
      <c r="M700" s="2">
        <v>8</v>
      </c>
      <c r="N700">
        <v>1.327707985</v>
      </c>
      <c r="O700">
        <v>0.86513373299999996</v>
      </c>
      <c r="P700" t="b">
        <v>0</v>
      </c>
      <c r="Q700">
        <v>0.701144726</v>
      </c>
      <c r="R700" s="2">
        <v>1</v>
      </c>
      <c r="S700" s="2" t="str">
        <f t="shared" si="41"/>
        <v>Nov</v>
      </c>
      <c r="T700">
        <f t="shared" si="42"/>
        <v>2026</v>
      </c>
      <c r="U700" s="2" t="str">
        <f t="shared" si="43"/>
        <v>Q4</v>
      </c>
      <c r="V700" t="str">
        <f t="shared" si="44"/>
        <v>Completed</v>
      </c>
    </row>
    <row r="701" spans="1:22" x14ac:dyDescent="0.3">
      <c r="A701" s="2">
        <v>700</v>
      </c>
      <c r="B701" s="1">
        <v>46357</v>
      </c>
      <c r="C701" s="2" t="s">
        <v>17</v>
      </c>
      <c r="D701">
        <v>4265</v>
      </c>
      <c r="E701">
        <v>1932</v>
      </c>
      <c r="F701">
        <v>1196</v>
      </c>
      <c r="G701">
        <v>1099</v>
      </c>
      <c r="H701">
        <v>3717</v>
      </c>
      <c r="I701">
        <v>0.49345031499999997</v>
      </c>
      <c r="J701">
        <v>1.5899599339999999</v>
      </c>
      <c r="K701">
        <v>2389</v>
      </c>
      <c r="L701">
        <v>3559</v>
      </c>
      <c r="M701" s="2">
        <v>1</v>
      </c>
      <c r="N701">
        <v>0.53286171599999999</v>
      </c>
      <c r="O701">
        <v>0.84226083200000001</v>
      </c>
      <c r="P701" t="b">
        <v>0</v>
      </c>
      <c r="Q701">
        <v>0.85016353200000006</v>
      </c>
      <c r="R701" s="2">
        <v>1</v>
      </c>
      <c r="S701" s="2" t="str">
        <f t="shared" si="41"/>
        <v>Dec</v>
      </c>
      <c r="T701">
        <f t="shared" si="42"/>
        <v>2026</v>
      </c>
      <c r="U701" s="2" t="str">
        <f t="shared" si="43"/>
        <v>Q4</v>
      </c>
      <c r="V701" t="str">
        <f t="shared" si="44"/>
        <v>Completed</v>
      </c>
    </row>
    <row r="702" spans="1:22" x14ac:dyDescent="0.3">
      <c r="A702" s="2">
        <v>701</v>
      </c>
      <c r="B702" s="1">
        <v>46358</v>
      </c>
      <c r="C702" s="2" t="s">
        <v>16</v>
      </c>
      <c r="D702">
        <v>862</v>
      </c>
      <c r="E702">
        <v>3919</v>
      </c>
      <c r="F702">
        <v>1188</v>
      </c>
      <c r="G702">
        <v>4415</v>
      </c>
      <c r="H702">
        <v>1464</v>
      </c>
      <c r="I702">
        <v>0.32930395699999998</v>
      </c>
      <c r="J702">
        <v>2.899042589</v>
      </c>
      <c r="K702">
        <v>2528</v>
      </c>
      <c r="L702">
        <v>1508</v>
      </c>
      <c r="M702" s="2">
        <v>6</v>
      </c>
      <c r="N702">
        <v>0.88388233400000005</v>
      </c>
      <c r="O702">
        <v>0.982231458</v>
      </c>
      <c r="P702" t="b">
        <v>0</v>
      </c>
      <c r="Q702">
        <v>0.154538021</v>
      </c>
      <c r="R702" s="2">
        <v>1</v>
      </c>
      <c r="S702" s="2" t="str">
        <f t="shared" si="41"/>
        <v>Dec</v>
      </c>
      <c r="T702">
        <f t="shared" si="42"/>
        <v>2026</v>
      </c>
      <c r="U702" s="2" t="str">
        <f t="shared" si="43"/>
        <v>Q4</v>
      </c>
      <c r="V702" t="str">
        <f t="shared" si="44"/>
        <v>Completed</v>
      </c>
    </row>
    <row r="703" spans="1:22" x14ac:dyDescent="0.3">
      <c r="A703" s="2">
        <v>702</v>
      </c>
      <c r="B703" s="1">
        <v>46359</v>
      </c>
      <c r="C703" s="2" t="s">
        <v>17</v>
      </c>
      <c r="D703">
        <v>4225</v>
      </c>
      <c r="E703">
        <v>2582</v>
      </c>
      <c r="F703">
        <v>1732</v>
      </c>
      <c r="G703">
        <v>3244</v>
      </c>
      <c r="H703">
        <v>1915</v>
      </c>
      <c r="I703">
        <v>0.74590439100000006</v>
      </c>
      <c r="J703">
        <v>1.8978899090000001</v>
      </c>
      <c r="K703">
        <v>1100</v>
      </c>
      <c r="L703">
        <v>2294</v>
      </c>
      <c r="M703" s="2">
        <v>6</v>
      </c>
      <c r="N703">
        <v>1.5308093229999999</v>
      </c>
      <c r="O703">
        <v>0.90473645000000003</v>
      </c>
      <c r="P703" t="b">
        <v>0</v>
      </c>
      <c r="Q703">
        <v>0.84198691699999995</v>
      </c>
      <c r="R703" s="2">
        <v>1</v>
      </c>
      <c r="S703" s="2" t="str">
        <f t="shared" si="41"/>
        <v>Dec</v>
      </c>
      <c r="T703">
        <f t="shared" si="42"/>
        <v>2026</v>
      </c>
      <c r="U703" s="2" t="str">
        <f t="shared" si="43"/>
        <v>Q4</v>
      </c>
      <c r="V703" t="str">
        <f t="shared" si="44"/>
        <v>Completed</v>
      </c>
    </row>
    <row r="704" spans="1:22" x14ac:dyDescent="0.3">
      <c r="A704" s="2">
        <v>703</v>
      </c>
      <c r="B704" s="1">
        <v>46360</v>
      </c>
      <c r="C704" s="2" t="s">
        <v>17</v>
      </c>
      <c r="D704">
        <v>3003</v>
      </c>
      <c r="E704">
        <v>2665</v>
      </c>
      <c r="F704">
        <v>3111</v>
      </c>
      <c r="G704">
        <v>3437</v>
      </c>
      <c r="H704">
        <v>3102</v>
      </c>
      <c r="I704">
        <v>0.44452976100000002</v>
      </c>
      <c r="J704">
        <v>2.734992718</v>
      </c>
      <c r="K704">
        <v>3089</v>
      </c>
      <c r="L704">
        <v>2951</v>
      </c>
      <c r="M704" s="2">
        <v>9</v>
      </c>
      <c r="N704">
        <v>1.300438548</v>
      </c>
      <c r="O704">
        <v>0.83492382799999998</v>
      </c>
      <c r="P704" t="b">
        <v>0</v>
      </c>
      <c r="Q704">
        <v>0.59219133300000004</v>
      </c>
      <c r="R704" s="2">
        <v>1</v>
      </c>
      <c r="S704" s="2" t="str">
        <f t="shared" si="41"/>
        <v>Dec</v>
      </c>
      <c r="T704">
        <f t="shared" si="42"/>
        <v>2026</v>
      </c>
      <c r="U704" s="2" t="str">
        <f t="shared" si="43"/>
        <v>Q4</v>
      </c>
      <c r="V704" t="str">
        <f t="shared" si="44"/>
        <v>Completed</v>
      </c>
    </row>
    <row r="705" spans="1:22" x14ac:dyDescent="0.3">
      <c r="A705" s="2">
        <v>704</v>
      </c>
      <c r="B705" s="1">
        <v>46361</v>
      </c>
      <c r="C705" s="2" t="s">
        <v>18</v>
      </c>
      <c r="D705">
        <v>2787</v>
      </c>
      <c r="E705">
        <v>4241</v>
      </c>
      <c r="F705">
        <v>3080</v>
      </c>
      <c r="G705">
        <v>2844</v>
      </c>
      <c r="H705">
        <v>3836</v>
      </c>
      <c r="I705">
        <v>0.69348618799999995</v>
      </c>
      <c r="J705">
        <v>2.192987993</v>
      </c>
      <c r="K705">
        <v>1223</v>
      </c>
      <c r="L705">
        <v>3792</v>
      </c>
      <c r="M705" s="2">
        <v>3</v>
      </c>
      <c r="N705">
        <v>1.929618211</v>
      </c>
      <c r="O705">
        <v>0.81667973100000002</v>
      </c>
      <c r="P705" t="b">
        <v>0</v>
      </c>
      <c r="Q705">
        <v>0.54803761200000001</v>
      </c>
      <c r="R705" s="2">
        <v>1</v>
      </c>
      <c r="S705" s="2" t="str">
        <f t="shared" si="41"/>
        <v>Dec</v>
      </c>
      <c r="T705">
        <f t="shared" si="42"/>
        <v>2026</v>
      </c>
      <c r="U705" s="2" t="str">
        <f t="shared" si="43"/>
        <v>Q4</v>
      </c>
      <c r="V705" t="str">
        <f t="shared" si="44"/>
        <v>Completed</v>
      </c>
    </row>
    <row r="706" spans="1:22" x14ac:dyDescent="0.3">
      <c r="A706" s="2">
        <v>705</v>
      </c>
      <c r="B706" s="1">
        <v>46362</v>
      </c>
      <c r="C706" s="2" t="s">
        <v>16</v>
      </c>
      <c r="D706">
        <v>4871</v>
      </c>
      <c r="E706">
        <v>4293</v>
      </c>
      <c r="F706">
        <v>1178</v>
      </c>
      <c r="G706">
        <v>2699</v>
      </c>
      <c r="H706">
        <v>3570</v>
      </c>
      <c r="I706">
        <v>0.22354315199999999</v>
      </c>
      <c r="J706">
        <v>0.97182166299999995</v>
      </c>
      <c r="K706">
        <v>4824</v>
      </c>
      <c r="L706">
        <v>238</v>
      </c>
      <c r="M706" s="2">
        <v>8</v>
      </c>
      <c r="N706">
        <v>1.8441910480000001</v>
      </c>
      <c r="O706">
        <v>0.83666013100000003</v>
      </c>
      <c r="P706" t="b">
        <v>0</v>
      </c>
      <c r="Q706">
        <v>0.97403924799999997</v>
      </c>
      <c r="R706" s="2">
        <v>1</v>
      </c>
      <c r="S706" s="2" t="str">
        <f t="shared" ref="S706:S769" si="45">TEXT(B706,"MMM")</f>
        <v>Dec</v>
      </c>
      <c r="T706">
        <f t="shared" ref="T706:T769" si="46">YEAR(B706)</f>
        <v>2026</v>
      </c>
      <c r="U706" s="2" t="str">
        <f t="shared" si="43"/>
        <v>Q4</v>
      </c>
      <c r="V706" t="str">
        <f t="shared" si="44"/>
        <v>Completed</v>
      </c>
    </row>
    <row r="707" spans="1:22" x14ac:dyDescent="0.3">
      <c r="A707" s="2">
        <v>706</v>
      </c>
      <c r="B707" s="1">
        <v>46363</v>
      </c>
      <c r="C707" s="2" t="s">
        <v>5</v>
      </c>
      <c r="D707">
        <v>3942</v>
      </c>
      <c r="E707">
        <v>2215</v>
      </c>
      <c r="F707">
        <v>1477</v>
      </c>
      <c r="G707">
        <v>2363</v>
      </c>
      <c r="H707">
        <v>3078</v>
      </c>
      <c r="I707">
        <v>0.34084036699999998</v>
      </c>
      <c r="J707">
        <v>1.1009564650000001</v>
      </c>
      <c r="K707">
        <v>2258</v>
      </c>
      <c r="L707">
        <v>2685</v>
      </c>
      <c r="M707" s="2">
        <v>4</v>
      </c>
      <c r="N707">
        <v>1.068863648</v>
      </c>
      <c r="O707">
        <v>0.92122650699999997</v>
      </c>
      <c r="P707" t="b">
        <v>0</v>
      </c>
      <c r="Q707">
        <v>0.78413736700000003</v>
      </c>
      <c r="R707" s="2">
        <v>1</v>
      </c>
      <c r="S707" s="2" t="str">
        <f t="shared" si="45"/>
        <v>Dec</v>
      </c>
      <c r="T707">
        <f t="shared" si="46"/>
        <v>2026</v>
      </c>
      <c r="U707" s="2" t="str">
        <f t="shared" ref="U707:U770" si="47">"Q"&amp;ROUNDUP(MONTH(B707)/3,0)</f>
        <v>Q4</v>
      </c>
      <c r="V707" t="str">
        <f t="shared" si="44"/>
        <v>Completed</v>
      </c>
    </row>
    <row r="708" spans="1:22" x14ac:dyDescent="0.3">
      <c r="A708" s="2">
        <v>707</v>
      </c>
      <c r="B708" s="1">
        <v>46364</v>
      </c>
      <c r="C708" s="2" t="s">
        <v>17</v>
      </c>
      <c r="D708">
        <v>2036</v>
      </c>
      <c r="E708">
        <v>2508</v>
      </c>
      <c r="F708">
        <v>2826</v>
      </c>
      <c r="G708">
        <v>1409</v>
      </c>
      <c r="H708">
        <v>2692</v>
      </c>
      <c r="I708">
        <v>0.53795258899999998</v>
      </c>
      <c r="J708">
        <v>0.86140479700000006</v>
      </c>
      <c r="K708">
        <v>108</v>
      </c>
      <c r="L708">
        <v>2792</v>
      </c>
      <c r="M708" s="2">
        <v>2</v>
      </c>
      <c r="N708">
        <v>1.6985471080000001</v>
      </c>
      <c r="O708">
        <v>0.84238490399999999</v>
      </c>
      <c r="P708" t="b">
        <v>0</v>
      </c>
      <c r="Q708">
        <v>0.39452166799999999</v>
      </c>
      <c r="R708" s="2">
        <v>1</v>
      </c>
      <c r="S708" s="2" t="str">
        <f t="shared" si="45"/>
        <v>Dec</v>
      </c>
      <c r="T708">
        <f t="shared" si="46"/>
        <v>2026</v>
      </c>
      <c r="U708" s="2" t="str">
        <f t="shared" si="47"/>
        <v>Q4</v>
      </c>
      <c r="V708" t="str">
        <f t="shared" ref="V708:V771" si="48">IF(R707=1,"Completed","Failed")</f>
        <v>Completed</v>
      </c>
    </row>
    <row r="709" spans="1:22" x14ac:dyDescent="0.3">
      <c r="A709" s="2">
        <v>708</v>
      </c>
      <c r="B709" s="1">
        <v>46365</v>
      </c>
      <c r="C709" s="2" t="s">
        <v>17</v>
      </c>
      <c r="D709">
        <v>4183</v>
      </c>
      <c r="E709">
        <v>1702</v>
      </c>
      <c r="F709">
        <v>2717</v>
      </c>
      <c r="G709">
        <v>2485</v>
      </c>
      <c r="H709">
        <v>2773</v>
      </c>
      <c r="I709">
        <v>0.59986787200000002</v>
      </c>
      <c r="J709">
        <v>1.756211328</v>
      </c>
      <c r="K709">
        <v>2381</v>
      </c>
      <c r="L709">
        <v>1917</v>
      </c>
      <c r="M709" s="2">
        <v>4</v>
      </c>
      <c r="N709">
        <v>1.5890814360000001</v>
      </c>
      <c r="O709">
        <v>0.94899317100000002</v>
      </c>
      <c r="P709" t="b">
        <v>0</v>
      </c>
      <c r="Q709">
        <v>0.83340147200000003</v>
      </c>
      <c r="R709" s="2">
        <v>1</v>
      </c>
      <c r="S709" s="2" t="str">
        <f t="shared" si="45"/>
        <v>Dec</v>
      </c>
      <c r="T709">
        <f t="shared" si="46"/>
        <v>2026</v>
      </c>
      <c r="U709" s="2" t="str">
        <f t="shared" si="47"/>
        <v>Q4</v>
      </c>
      <c r="V709" t="str">
        <f t="shared" si="48"/>
        <v>Completed</v>
      </c>
    </row>
    <row r="710" spans="1:22" x14ac:dyDescent="0.3">
      <c r="A710" s="2">
        <v>709</v>
      </c>
      <c r="B710" s="1">
        <v>46366</v>
      </c>
      <c r="C710" s="2" t="s">
        <v>16</v>
      </c>
      <c r="D710">
        <v>535</v>
      </c>
      <c r="E710">
        <v>558</v>
      </c>
      <c r="F710">
        <v>3010</v>
      </c>
      <c r="G710">
        <v>2893</v>
      </c>
      <c r="H710">
        <v>192</v>
      </c>
      <c r="I710">
        <v>0.73395144999999995</v>
      </c>
      <c r="J710">
        <v>0.59801158600000004</v>
      </c>
      <c r="K710">
        <v>3369</v>
      </c>
      <c r="L710">
        <v>1526</v>
      </c>
      <c r="M710" s="2">
        <v>2</v>
      </c>
      <c r="N710">
        <v>1.8116142660000001</v>
      </c>
      <c r="O710">
        <v>0.87985936499999995</v>
      </c>
      <c r="P710" t="b">
        <v>0</v>
      </c>
      <c r="Q710">
        <v>8.7694195000000003E-2</v>
      </c>
      <c r="R710" s="2">
        <v>1</v>
      </c>
      <c r="S710" s="2" t="str">
        <f t="shared" si="45"/>
        <v>Dec</v>
      </c>
      <c r="T710">
        <f t="shared" si="46"/>
        <v>2026</v>
      </c>
      <c r="U710" s="2" t="str">
        <f t="shared" si="47"/>
        <v>Q4</v>
      </c>
      <c r="V710" t="str">
        <f t="shared" si="48"/>
        <v>Completed</v>
      </c>
    </row>
    <row r="711" spans="1:22" x14ac:dyDescent="0.3">
      <c r="A711" s="2">
        <v>710</v>
      </c>
      <c r="B711" s="1">
        <v>46367</v>
      </c>
      <c r="C711" s="2" t="s">
        <v>5</v>
      </c>
      <c r="D711">
        <v>1059</v>
      </c>
      <c r="E711">
        <v>3715</v>
      </c>
      <c r="F711">
        <v>1555</v>
      </c>
      <c r="G711">
        <v>4882</v>
      </c>
      <c r="H711">
        <v>929</v>
      </c>
      <c r="I711">
        <v>0.334536473</v>
      </c>
      <c r="J711">
        <v>0.73290198699999998</v>
      </c>
      <c r="K711">
        <v>2826</v>
      </c>
      <c r="L711">
        <v>1675</v>
      </c>
      <c r="M711" s="2">
        <v>5</v>
      </c>
      <c r="N711">
        <v>0.60462381399999998</v>
      </c>
      <c r="O711">
        <v>0.87868741699999997</v>
      </c>
      <c r="P711" t="b">
        <v>0</v>
      </c>
      <c r="Q711">
        <v>0.19480785</v>
      </c>
      <c r="R711" s="2">
        <v>1</v>
      </c>
      <c r="S711" s="2" t="str">
        <f t="shared" si="45"/>
        <v>Dec</v>
      </c>
      <c r="T711">
        <f t="shared" si="46"/>
        <v>2026</v>
      </c>
      <c r="U711" s="2" t="str">
        <f t="shared" si="47"/>
        <v>Q4</v>
      </c>
      <c r="V711" t="str">
        <f t="shared" si="48"/>
        <v>Completed</v>
      </c>
    </row>
    <row r="712" spans="1:22" x14ac:dyDescent="0.3">
      <c r="A712" s="2">
        <v>711</v>
      </c>
      <c r="B712" s="1">
        <v>46368</v>
      </c>
      <c r="C712" s="2" t="s">
        <v>16</v>
      </c>
      <c r="D712">
        <v>623</v>
      </c>
      <c r="E712">
        <v>3737</v>
      </c>
      <c r="F712">
        <v>1759</v>
      </c>
      <c r="G712">
        <v>3842</v>
      </c>
      <c r="H712">
        <v>3272</v>
      </c>
      <c r="I712">
        <v>0.43051787200000002</v>
      </c>
      <c r="J712">
        <v>1.0629813690000001</v>
      </c>
      <c r="K712">
        <v>4145</v>
      </c>
      <c r="L712">
        <v>3281</v>
      </c>
      <c r="M712" s="2">
        <v>3</v>
      </c>
      <c r="N712">
        <v>1.72647203</v>
      </c>
      <c r="O712">
        <v>0.90978736000000004</v>
      </c>
      <c r="P712" t="b">
        <v>0</v>
      </c>
      <c r="Q712">
        <v>0.10568274699999999</v>
      </c>
      <c r="R712" s="2">
        <v>1</v>
      </c>
      <c r="S712" s="2" t="str">
        <f t="shared" si="45"/>
        <v>Dec</v>
      </c>
      <c r="T712">
        <f t="shared" si="46"/>
        <v>2026</v>
      </c>
      <c r="U712" s="2" t="str">
        <f t="shared" si="47"/>
        <v>Q4</v>
      </c>
      <c r="V712" t="str">
        <f t="shared" si="48"/>
        <v>Completed</v>
      </c>
    </row>
    <row r="713" spans="1:22" x14ac:dyDescent="0.3">
      <c r="A713" s="2">
        <v>712</v>
      </c>
      <c r="B713" s="1">
        <v>46369</v>
      </c>
      <c r="C713" s="2" t="s">
        <v>16</v>
      </c>
      <c r="D713">
        <v>1758</v>
      </c>
      <c r="E713">
        <v>3609</v>
      </c>
      <c r="F713">
        <v>842</v>
      </c>
      <c r="G713">
        <v>3283</v>
      </c>
      <c r="H713">
        <v>3159</v>
      </c>
      <c r="I713">
        <v>0.69159070700000003</v>
      </c>
      <c r="J713">
        <v>1.3877089460000001</v>
      </c>
      <c r="K713">
        <v>4262</v>
      </c>
      <c r="L713">
        <v>3864</v>
      </c>
      <c r="M713" s="2">
        <v>4</v>
      </c>
      <c r="N713">
        <v>1.4663084710000001</v>
      </c>
      <c r="O713">
        <v>0.81669095300000005</v>
      </c>
      <c r="P713" t="b">
        <v>0</v>
      </c>
      <c r="Q713">
        <v>0.33769419499999997</v>
      </c>
      <c r="R713" s="2">
        <v>1</v>
      </c>
      <c r="S713" s="2" t="str">
        <f t="shared" si="45"/>
        <v>Dec</v>
      </c>
      <c r="T713">
        <f t="shared" si="46"/>
        <v>2026</v>
      </c>
      <c r="U713" s="2" t="str">
        <f t="shared" si="47"/>
        <v>Q4</v>
      </c>
      <c r="V713" t="str">
        <f t="shared" si="48"/>
        <v>Completed</v>
      </c>
    </row>
    <row r="714" spans="1:22" x14ac:dyDescent="0.3">
      <c r="A714" s="2">
        <v>713</v>
      </c>
      <c r="B714" s="1">
        <v>46370</v>
      </c>
      <c r="C714" s="2" t="s">
        <v>18</v>
      </c>
      <c r="D714">
        <v>2667</v>
      </c>
      <c r="E714">
        <v>4491</v>
      </c>
      <c r="F714">
        <v>2473</v>
      </c>
      <c r="G714">
        <v>1306</v>
      </c>
      <c r="H714">
        <v>1288</v>
      </c>
      <c r="I714">
        <v>0.21860069400000001</v>
      </c>
      <c r="J714">
        <v>1.256504203</v>
      </c>
      <c r="K714">
        <v>1127</v>
      </c>
      <c r="L714">
        <v>3392</v>
      </c>
      <c r="M714" s="2">
        <v>6</v>
      </c>
      <c r="N714">
        <v>0.86518816600000004</v>
      </c>
      <c r="O714">
        <v>0.92002992699999997</v>
      </c>
      <c r="P714" t="b">
        <v>0</v>
      </c>
      <c r="Q714">
        <v>0.52350776799999998</v>
      </c>
      <c r="R714" s="2">
        <v>1</v>
      </c>
      <c r="S714" s="2" t="str">
        <f t="shared" si="45"/>
        <v>Dec</v>
      </c>
      <c r="T714">
        <f t="shared" si="46"/>
        <v>2026</v>
      </c>
      <c r="U714" s="2" t="str">
        <f t="shared" si="47"/>
        <v>Q4</v>
      </c>
      <c r="V714" t="str">
        <f t="shared" si="48"/>
        <v>Completed</v>
      </c>
    </row>
    <row r="715" spans="1:22" x14ac:dyDescent="0.3">
      <c r="A715" s="2">
        <v>714</v>
      </c>
      <c r="B715" s="1">
        <v>46371</v>
      </c>
      <c r="C715" s="2" t="s">
        <v>5</v>
      </c>
      <c r="D715">
        <v>170</v>
      </c>
      <c r="E715">
        <v>3923</v>
      </c>
      <c r="F715">
        <v>3778</v>
      </c>
      <c r="G715">
        <v>4482</v>
      </c>
      <c r="H715">
        <v>843</v>
      </c>
      <c r="I715">
        <v>0.34684498600000002</v>
      </c>
      <c r="J715">
        <v>2.0865615279999998</v>
      </c>
      <c r="K715">
        <v>981</v>
      </c>
      <c r="L715">
        <v>2980</v>
      </c>
      <c r="M715" s="2">
        <v>6</v>
      </c>
      <c r="N715">
        <v>1.3420996169999999</v>
      </c>
      <c r="O715">
        <v>0.85787063100000005</v>
      </c>
      <c r="P715" t="b">
        <v>0</v>
      </c>
      <c r="Q715">
        <v>1.3082584E-2</v>
      </c>
      <c r="R715" s="2">
        <v>1</v>
      </c>
      <c r="S715" s="2" t="str">
        <f t="shared" si="45"/>
        <v>Dec</v>
      </c>
      <c r="T715">
        <f t="shared" si="46"/>
        <v>2026</v>
      </c>
      <c r="U715" s="2" t="str">
        <f t="shared" si="47"/>
        <v>Q4</v>
      </c>
      <c r="V715" t="str">
        <f t="shared" si="48"/>
        <v>Completed</v>
      </c>
    </row>
    <row r="716" spans="1:22" x14ac:dyDescent="0.3">
      <c r="A716" s="2">
        <v>715</v>
      </c>
      <c r="B716" s="1">
        <v>46372</v>
      </c>
      <c r="C716" s="2" t="s">
        <v>16</v>
      </c>
      <c r="D716">
        <v>4147</v>
      </c>
      <c r="E716">
        <v>3215</v>
      </c>
      <c r="F716">
        <v>3946</v>
      </c>
      <c r="G716">
        <v>1257</v>
      </c>
      <c r="H716">
        <v>3091</v>
      </c>
      <c r="I716">
        <v>0.407227801</v>
      </c>
      <c r="J716">
        <v>2.0566808700000001</v>
      </c>
      <c r="K716">
        <v>984</v>
      </c>
      <c r="L716">
        <v>2484</v>
      </c>
      <c r="M716" s="2">
        <v>2</v>
      </c>
      <c r="N716">
        <v>1.555448205</v>
      </c>
      <c r="O716">
        <v>0.90833288000000001</v>
      </c>
      <c r="P716" t="b">
        <v>0</v>
      </c>
      <c r="Q716">
        <v>0.82604251799999995</v>
      </c>
      <c r="R716" s="2">
        <v>0</v>
      </c>
      <c r="S716" s="2" t="str">
        <f t="shared" si="45"/>
        <v>Dec</v>
      </c>
      <c r="T716">
        <f t="shared" si="46"/>
        <v>2026</v>
      </c>
      <c r="U716" s="2" t="str">
        <f t="shared" si="47"/>
        <v>Q4</v>
      </c>
      <c r="V716" t="str">
        <f t="shared" si="48"/>
        <v>Completed</v>
      </c>
    </row>
    <row r="717" spans="1:22" x14ac:dyDescent="0.3">
      <c r="A717" s="2">
        <v>716</v>
      </c>
      <c r="B717" s="1">
        <v>46373</v>
      </c>
      <c r="C717" s="2" t="s">
        <v>17</v>
      </c>
      <c r="D717">
        <v>3487</v>
      </c>
      <c r="E717">
        <v>3657</v>
      </c>
      <c r="F717">
        <v>3678</v>
      </c>
      <c r="G717">
        <v>3947</v>
      </c>
      <c r="H717">
        <v>103</v>
      </c>
      <c r="I717">
        <v>0.63322143399999997</v>
      </c>
      <c r="J717">
        <v>2.9680399290000001</v>
      </c>
      <c r="K717">
        <v>3297</v>
      </c>
      <c r="L717">
        <v>3720</v>
      </c>
      <c r="M717" s="2">
        <v>5</v>
      </c>
      <c r="N717">
        <v>1.856853595</v>
      </c>
      <c r="O717">
        <v>0.81996709899999998</v>
      </c>
      <c r="P717" t="b">
        <v>0</v>
      </c>
      <c r="Q717">
        <v>0.69112837299999996</v>
      </c>
      <c r="R717" s="2">
        <v>1</v>
      </c>
      <c r="S717" s="2" t="str">
        <f t="shared" si="45"/>
        <v>Dec</v>
      </c>
      <c r="T717">
        <f t="shared" si="46"/>
        <v>2026</v>
      </c>
      <c r="U717" s="2" t="str">
        <f t="shared" si="47"/>
        <v>Q4</v>
      </c>
      <c r="V717" t="str">
        <f t="shared" si="48"/>
        <v>Failed</v>
      </c>
    </row>
    <row r="718" spans="1:22" x14ac:dyDescent="0.3">
      <c r="A718" s="2">
        <v>717</v>
      </c>
      <c r="B718" s="1">
        <v>46374</v>
      </c>
      <c r="C718" s="2" t="s">
        <v>16</v>
      </c>
      <c r="D718">
        <v>4721</v>
      </c>
      <c r="E718">
        <v>2777</v>
      </c>
      <c r="F718">
        <v>692</v>
      </c>
      <c r="G718">
        <v>4489</v>
      </c>
      <c r="H718">
        <v>2914</v>
      </c>
      <c r="I718">
        <v>0.72848330900000002</v>
      </c>
      <c r="J718">
        <v>0.72796007600000001</v>
      </c>
      <c r="K718">
        <v>947</v>
      </c>
      <c r="L718">
        <v>3988</v>
      </c>
      <c r="M718" s="2">
        <v>8</v>
      </c>
      <c r="N718">
        <v>1.678774996</v>
      </c>
      <c r="O718">
        <v>0.92503122599999998</v>
      </c>
      <c r="P718" t="b">
        <v>0</v>
      </c>
      <c r="Q718">
        <v>0.943376942</v>
      </c>
      <c r="R718" s="2">
        <v>1</v>
      </c>
      <c r="S718" s="2" t="str">
        <f t="shared" si="45"/>
        <v>Dec</v>
      </c>
      <c r="T718">
        <f t="shared" si="46"/>
        <v>2026</v>
      </c>
      <c r="U718" s="2" t="str">
        <f t="shared" si="47"/>
        <v>Q4</v>
      </c>
      <c r="V718" t="str">
        <f t="shared" si="48"/>
        <v>Completed</v>
      </c>
    </row>
    <row r="719" spans="1:22" x14ac:dyDescent="0.3">
      <c r="A719" s="2">
        <v>718</v>
      </c>
      <c r="B719" s="1">
        <v>46375</v>
      </c>
      <c r="C719" s="2" t="s">
        <v>5</v>
      </c>
      <c r="D719">
        <v>1310</v>
      </c>
      <c r="E719">
        <v>1361</v>
      </c>
      <c r="F719">
        <v>3568</v>
      </c>
      <c r="G719">
        <v>4178</v>
      </c>
      <c r="H719">
        <v>406</v>
      </c>
      <c r="I719">
        <v>0.48189979300000002</v>
      </c>
      <c r="J719">
        <v>1.29490792</v>
      </c>
      <c r="K719">
        <v>1842</v>
      </c>
      <c r="L719">
        <v>3372</v>
      </c>
      <c r="M719" s="2">
        <v>3</v>
      </c>
      <c r="N719">
        <v>1.4343329250000001</v>
      </c>
      <c r="O719">
        <v>0.82049818699999999</v>
      </c>
      <c r="P719" t="b">
        <v>0</v>
      </c>
      <c r="Q719">
        <v>0.246116108</v>
      </c>
      <c r="R719" s="2">
        <v>1</v>
      </c>
      <c r="S719" s="2" t="str">
        <f t="shared" si="45"/>
        <v>Dec</v>
      </c>
      <c r="T719">
        <f t="shared" si="46"/>
        <v>2026</v>
      </c>
      <c r="U719" s="2" t="str">
        <f t="shared" si="47"/>
        <v>Q4</v>
      </c>
      <c r="V719" t="str">
        <f t="shared" si="48"/>
        <v>Completed</v>
      </c>
    </row>
    <row r="720" spans="1:22" x14ac:dyDescent="0.3">
      <c r="A720" s="2">
        <v>719</v>
      </c>
      <c r="B720" s="1">
        <v>46376</v>
      </c>
      <c r="C720" s="2" t="s">
        <v>18</v>
      </c>
      <c r="D720">
        <v>679</v>
      </c>
      <c r="E720">
        <v>2233</v>
      </c>
      <c r="F720">
        <v>1614</v>
      </c>
      <c r="G720">
        <v>3417</v>
      </c>
      <c r="H720">
        <v>3548</v>
      </c>
      <c r="I720">
        <v>0.62030474400000002</v>
      </c>
      <c r="J720">
        <v>2.0078138019999998</v>
      </c>
      <c r="K720">
        <v>4490</v>
      </c>
      <c r="L720">
        <v>3752</v>
      </c>
      <c r="M720" s="2">
        <v>4</v>
      </c>
      <c r="N720">
        <v>0.86471369600000003</v>
      </c>
      <c r="O720">
        <v>0.99328119599999998</v>
      </c>
      <c r="P720" t="b">
        <v>0</v>
      </c>
      <c r="Q720">
        <v>0.11713000799999999</v>
      </c>
      <c r="R720" s="2">
        <v>1</v>
      </c>
      <c r="S720" s="2" t="str">
        <f t="shared" si="45"/>
        <v>Dec</v>
      </c>
      <c r="T720">
        <f t="shared" si="46"/>
        <v>2026</v>
      </c>
      <c r="U720" s="2" t="str">
        <f t="shared" si="47"/>
        <v>Q4</v>
      </c>
      <c r="V720" t="str">
        <f t="shared" si="48"/>
        <v>Completed</v>
      </c>
    </row>
    <row r="721" spans="1:22" x14ac:dyDescent="0.3">
      <c r="A721" s="2">
        <v>720</v>
      </c>
      <c r="B721" s="1">
        <v>46377</v>
      </c>
      <c r="C721" s="2" t="s">
        <v>17</v>
      </c>
      <c r="D721">
        <v>2629</v>
      </c>
      <c r="E721">
        <v>2507</v>
      </c>
      <c r="F721">
        <v>1870</v>
      </c>
      <c r="G721">
        <v>1367</v>
      </c>
      <c r="H721">
        <v>1313</v>
      </c>
      <c r="I721">
        <v>0.56044376699999998</v>
      </c>
      <c r="J721">
        <v>1.9199446449999999</v>
      </c>
      <c r="K721">
        <v>1700</v>
      </c>
      <c r="L721">
        <v>3671</v>
      </c>
      <c r="M721" s="2">
        <v>7</v>
      </c>
      <c r="N721">
        <v>1.03781507</v>
      </c>
      <c r="O721">
        <v>0.97729351200000003</v>
      </c>
      <c r="P721" t="b">
        <v>0</v>
      </c>
      <c r="Q721">
        <v>0.51573998399999998</v>
      </c>
      <c r="R721" s="2">
        <v>0</v>
      </c>
      <c r="S721" s="2" t="str">
        <f t="shared" si="45"/>
        <v>Dec</v>
      </c>
      <c r="T721">
        <f t="shared" si="46"/>
        <v>2026</v>
      </c>
      <c r="U721" s="2" t="str">
        <f t="shared" si="47"/>
        <v>Q4</v>
      </c>
      <c r="V721" t="str">
        <f t="shared" si="48"/>
        <v>Completed</v>
      </c>
    </row>
    <row r="722" spans="1:22" x14ac:dyDescent="0.3">
      <c r="A722" s="2">
        <v>721</v>
      </c>
      <c r="B722" s="1">
        <v>46378</v>
      </c>
      <c r="C722" s="2" t="s">
        <v>17</v>
      </c>
      <c r="D722">
        <v>693</v>
      </c>
      <c r="E722">
        <v>4422</v>
      </c>
      <c r="F722">
        <v>2101</v>
      </c>
      <c r="G722">
        <v>3912</v>
      </c>
      <c r="H722">
        <v>2098</v>
      </c>
      <c r="I722">
        <v>0.47201328599999998</v>
      </c>
      <c r="J722">
        <v>2.6673950770000001</v>
      </c>
      <c r="K722">
        <v>3228</v>
      </c>
      <c r="L722">
        <v>784</v>
      </c>
      <c r="M722" s="2">
        <v>5</v>
      </c>
      <c r="N722">
        <v>1.06484774</v>
      </c>
      <c r="O722">
        <v>0.80875525800000003</v>
      </c>
      <c r="P722" t="b">
        <v>0</v>
      </c>
      <c r="Q722">
        <v>0.119991823</v>
      </c>
      <c r="R722" s="2">
        <v>1</v>
      </c>
      <c r="S722" s="2" t="str">
        <f t="shared" si="45"/>
        <v>Dec</v>
      </c>
      <c r="T722">
        <f t="shared" si="46"/>
        <v>2026</v>
      </c>
      <c r="U722" s="2" t="str">
        <f t="shared" si="47"/>
        <v>Q4</v>
      </c>
      <c r="V722" t="str">
        <f t="shared" si="48"/>
        <v>Failed</v>
      </c>
    </row>
    <row r="723" spans="1:22" x14ac:dyDescent="0.3">
      <c r="A723" s="2">
        <v>722</v>
      </c>
      <c r="B723" s="1">
        <v>46379</v>
      </c>
      <c r="C723" s="2" t="s">
        <v>16</v>
      </c>
      <c r="D723">
        <v>638</v>
      </c>
      <c r="E723">
        <v>1127</v>
      </c>
      <c r="F723">
        <v>1515</v>
      </c>
      <c r="G723">
        <v>3280</v>
      </c>
      <c r="H723">
        <v>749</v>
      </c>
      <c r="I723">
        <v>0.33643183100000001</v>
      </c>
      <c r="J723">
        <v>1.8192059549999999</v>
      </c>
      <c r="K723">
        <v>2779</v>
      </c>
      <c r="L723">
        <v>3717</v>
      </c>
      <c r="M723" s="2">
        <v>1</v>
      </c>
      <c r="N723">
        <v>0.59048429000000002</v>
      </c>
      <c r="O723">
        <v>0.97157975500000004</v>
      </c>
      <c r="P723" t="b">
        <v>0</v>
      </c>
      <c r="Q723">
        <v>0.108748978</v>
      </c>
      <c r="R723" s="2">
        <v>1</v>
      </c>
      <c r="S723" s="2" t="str">
        <f t="shared" si="45"/>
        <v>Dec</v>
      </c>
      <c r="T723">
        <f t="shared" si="46"/>
        <v>2026</v>
      </c>
      <c r="U723" s="2" t="str">
        <f t="shared" si="47"/>
        <v>Q4</v>
      </c>
      <c r="V723" t="str">
        <f t="shared" si="48"/>
        <v>Completed</v>
      </c>
    </row>
    <row r="724" spans="1:22" x14ac:dyDescent="0.3">
      <c r="A724" s="2">
        <v>723</v>
      </c>
      <c r="B724" s="1">
        <v>46380</v>
      </c>
      <c r="C724" s="2" t="s">
        <v>18</v>
      </c>
      <c r="D724">
        <v>4460</v>
      </c>
      <c r="E724">
        <v>4103</v>
      </c>
      <c r="F724">
        <v>3661</v>
      </c>
      <c r="G724">
        <v>669</v>
      </c>
      <c r="H724">
        <v>2940</v>
      </c>
      <c r="I724">
        <v>0.22715993300000001</v>
      </c>
      <c r="J724">
        <v>1.347644793</v>
      </c>
      <c r="K724">
        <v>464</v>
      </c>
      <c r="L724">
        <v>1103</v>
      </c>
      <c r="M724" s="2">
        <v>4</v>
      </c>
      <c r="N724">
        <v>0.51666326600000001</v>
      </c>
      <c r="O724">
        <v>0.84494655399999996</v>
      </c>
      <c r="P724" t="b">
        <v>0</v>
      </c>
      <c r="Q724">
        <v>0.89002453000000004</v>
      </c>
      <c r="R724" s="2">
        <v>1</v>
      </c>
      <c r="S724" s="2" t="str">
        <f t="shared" si="45"/>
        <v>Dec</v>
      </c>
      <c r="T724">
        <f t="shared" si="46"/>
        <v>2026</v>
      </c>
      <c r="U724" s="2" t="str">
        <f t="shared" si="47"/>
        <v>Q4</v>
      </c>
      <c r="V724" t="str">
        <f t="shared" si="48"/>
        <v>Completed</v>
      </c>
    </row>
    <row r="725" spans="1:22" x14ac:dyDescent="0.3">
      <c r="A725" s="2">
        <v>724</v>
      </c>
      <c r="B725" s="1">
        <v>46381</v>
      </c>
      <c r="C725" s="2" t="s">
        <v>18</v>
      </c>
      <c r="D725">
        <v>4358</v>
      </c>
      <c r="E725">
        <v>4153</v>
      </c>
      <c r="F725">
        <v>563</v>
      </c>
      <c r="G725">
        <v>4440</v>
      </c>
      <c r="H725">
        <v>2961</v>
      </c>
      <c r="I725">
        <v>0.68719025300000003</v>
      </c>
      <c r="J725">
        <v>0.601498372</v>
      </c>
      <c r="K725">
        <v>470</v>
      </c>
      <c r="L725">
        <v>3541</v>
      </c>
      <c r="M725" s="2">
        <v>3</v>
      </c>
      <c r="N725">
        <v>0.82143635999999998</v>
      </c>
      <c r="O725">
        <v>0.89977701499999996</v>
      </c>
      <c r="P725" t="b">
        <v>0</v>
      </c>
      <c r="Q725">
        <v>0.86917416199999997</v>
      </c>
      <c r="R725" s="2">
        <v>1</v>
      </c>
      <c r="S725" s="2" t="str">
        <f t="shared" si="45"/>
        <v>Dec</v>
      </c>
      <c r="T725">
        <f t="shared" si="46"/>
        <v>2026</v>
      </c>
      <c r="U725" s="2" t="str">
        <f t="shared" si="47"/>
        <v>Q4</v>
      </c>
      <c r="V725" t="str">
        <f t="shared" si="48"/>
        <v>Completed</v>
      </c>
    </row>
    <row r="726" spans="1:22" x14ac:dyDescent="0.3">
      <c r="A726" s="2">
        <v>725</v>
      </c>
      <c r="B726" s="1">
        <v>46382</v>
      </c>
      <c r="C726" s="2" t="s">
        <v>5</v>
      </c>
      <c r="D726">
        <v>923</v>
      </c>
      <c r="E726">
        <v>1177</v>
      </c>
      <c r="F726">
        <v>1303</v>
      </c>
      <c r="G726">
        <v>887</v>
      </c>
      <c r="H726">
        <v>2193</v>
      </c>
      <c r="I726">
        <v>0.39764171700000001</v>
      </c>
      <c r="J726">
        <v>2.8043725460000002</v>
      </c>
      <c r="K726">
        <v>310</v>
      </c>
      <c r="L726">
        <v>3175</v>
      </c>
      <c r="M726" s="2">
        <v>7</v>
      </c>
      <c r="N726">
        <v>0.73198812999999996</v>
      </c>
      <c r="O726">
        <v>0.83923171399999996</v>
      </c>
      <c r="P726" t="b">
        <v>0</v>
      </c>
      <c r="Q726">
        <v>0.16700735899999999</v>
      </c>
      <c r="R726" s="2">
        <v>1</v>
      </c>
      <c r="S726" s="2" t="str">
        <f t="shared" si="45"/>
        <v>Dec</v>
      </c>
      <c r="T726">
        <f t="shared" si="46"/>
        <v>2026</v>
      </c>
      <c r="U726" s="2" t="str">
        <f t="shared" si="47"/>
        <v>Q4</v>
      </c>
      <c r="V726" t="str">
        <f t="shared" si="48"/>
        <v>Completed</v>
      </c>
    </row>
    <row r="727" spans="1:22" x14ac:dyDescent="0.3">
      <c r="A727" s="2">
        <v>726</v>
      </c>
      <c r="B727" s="1">
        <v>46383</v>
      </c>
      <c r="C727" s="2" t="s">
        <v>18</v>
      </c>
      <c r="D727">
        <v>2534</v>
      </c>
      <c r="E727">
        <v>2606</v>
      </c>
      <c r="F727">
        <v>3330</v>
      </c>
      <c r="G727">
        <v>1434</v>
      </c>
      <c r="H727">
        <v>3754</v>
      </c>
      <c r="I727">
        <v>0.37543499699999999</v>
      </c>
      <c r="J727">
        <v>1.3973436459999999</v>
      </c>
      <c r="K727">
        <v>341</v>
      </c>
      <c r="L727">
        <v>3725</v>
      </c>
      <c r="M727" s="2">
        <v>8</v>
      </c>
      <c r="N727">
        <v>0.58805928699999999</v>
      </c>
      <c r="O727">
        <v>0.89170188900000003</v>
      </c>
      <c r="P727" t="b">
        <v>0</v>
      </c>
      <c r="Q727">
        <v>0.49632052300000001</v>
      </c>
      <c r="R727" s="2">
        <v>1</v>
      </c>
      <c r="S727" s="2" t="str">
        <f t="shared" si="45"/>
        <v>Dec</v>
      </c>
      <c r="T727">
        <f t="shared" si="46"/>
        <v>2026</v>
      </c>
      <c r="U727" s="2" t="str">
        <f t="shared" si="47"/>
        <v>Q4</v>
      </c>
      <c r="V727" t="str">
        <f t="shared" si="48"/>
        <v>Completed</v>
      </c>
    </row>
    <row r="728" spans="1:22" x14ac:dyDescent="0.3">
      <c r="A728" s="2">
        <v>727</v>
      </c>
      <c r="B728" s="1">
        <v>46384</v>
      </c>
      <c r="C728" s="2" t="s">
        <v>17</v>
      </c>
      <c r="D728">
        <v>4862</v>
      </c>
      <c r="E728">
        <v>676</v>
      </c>
      <c r="F728">
        <v>2537</v>
      </c>
      <c r="G728">
        <v>3330</v>
      </c>
      <c r="H728">
        <v>3739</v>
      </c>
      <c r="I728">
        <v>0.484820682</v>
      </c>
      <c r="J728">
        <v>2.6926673879999998</v>
      </c>
      <c r="K728">
        <v>3176</v>
      </c>
      <c r="L728">
        <v>3395</v>
      </c>
      <c r="M728" s="2">
        <v>3</v>
      </c>
      <c r="N728">
        <v>0.78261175199999999</v>
      </c>
      <c r="O728">
        <v>0.915732977</v>
      </c>
      <c r="P728" t="b">
        <v>0</v>
      </c>
      <c r="Q728">
        <v>0.97219950899999996</v>
      </c>
      <c r="R728" s="2">
        <v>1</v>
      </c>
      <c r="S728" s="2" t="str">
        <f t="shared" si="45"/>
        <v>Dec</v>
      </c>
      <c r="T728">
        <f t="shared" si="46"/>
        <v>2026</v>
      </c>
      <c r="U728" s="2" t="str">
        <f t="shared" si="47"/>
        <v>Q4</v>
      </c>
      <c r="V728" t="str">
        <f t="shared" si="48"/>
        <v>Completed</v>
      </c>
    </row>
    <row r="729" spans="1:22" x14ac:dyDescent="0.3">
      <c r="A729" s="2">
        <v>728</v>
      </c>
      <c r="B729" s="1">
        <v>46385</v>
      </c>
      <c r="C729" s="2" t="s">
        <v>5</v>
      </c>
      <c r="D729">
        <v>557</v>
      </c>
      <c r="E729">
        <v>3273</v>
      </c>
      <c r="F729">
        <v>3847</v>
      </c>
      <c r="G729">
        <v>982</v>
      </c>
      <c r="H729">
        <v>2240</v>
      </c>
      <c r="I729">
        <v>0.73420327399999996</v>
      </c>
      <c r="J729">
        <v>1.4291211610000001</v>
      </c>
      <c r="K729">
        <v>3053</v>
      </c>
      <c r="L729">
        <v>3409</v>
      </c>
      <c r="M729" s="2">
        <v>7</v>
      </c>
      <c r="N729">
        <v>0.75527666100000002</v>
      </c>
      <c r="O729">
        <v>0.90856556499999996</v>
      </c>
      <c r="P729" t="b">
        <v>0</v>
      </c>
      <c r="Q729">
        <v>9.2191333E-2</v>
      </c>
      <c r="R729" s="2">
        <v>1</v>
      </c>
      <c r="S729" s="2" t="str">
        <f t="shared" si="45"/>
        <v>Dec</v>
      </c>
      <c r="T729">
        <f t="shared" si="46"/>
        <v>2026</v>
      </c>
      <c r="U729" s="2" t="str">
        <f t="shared" si="47"/>
        <v>Q4</v>
      </c>
      <c r="V729" t="str">
        <f t="shared" si="48"/>
        <v>Completed</v>
      </c>
    </row>
    <row r="730" spans="1:22" x14ac:dyDescent="0.3">
      <c r="A730" s="2">
        <v>729</v>
      </c>
      <c r="B730" s="1">
        <v>46386</v>
      </c>
      <c r="C730" s="2" t="s">
        <v>18</v>
      </c>
      <c r="D730">
        <v>4669</v>
      </c>
      <c r="E730">
        <v>1043</v>
      </c>
      <c r="F730">
        <v>354</v>
      </c>
      <c r="G730">
        <v>4124</v>
      </c>
      <c r="H730">
        <v>1609</v>
      </c>
      <c r="I730">
        <v>0.50562167499999999</v>
      </c>
      <c r="J730">
        <v>1.235652014</v>
      </c>
      <c r="K730">
        <v>241</v>
      </c>
      <c r="L730">
        <v>1214</v>
      </c>
      <c r="M730" s="2">
        <v>9</v>
      </c>
      <c r="N730">
        <v>1.2160530899999999</v>
      </c>
      <c r="O730">
        <v>0.954983841</v>
      </c>
      <c r="P730" t="b">
        <v>0</v>
      </c>
      <c r="Q730">
        <v>0.93274734299999995</v>
      </c>
      <c r="R730" s="2">
        <v>1</v>
      </c>
      <c r="S730" s="2" t="str">
        <f t="shared" si="45"/>
        <v>Dec</v>
      </c>
      <c r="T730">
        <f t="shared" si="46"/>
        <v>2026</v>
      </c>
      <c r="U730" s="2" t="str">
        <f t="shared" si="47"/>
        <v>Q4</v>
      </c>
      <c r="V730" t="str">
        <f t="shared" si="48"/>
        <v>Completed</v>
      </c>
    </row>
    <row r="731" spans="1:22" x14ac:dyDescent="0.3">
      <c r="A731" s="2">
        <v>730</v>
      </c>
      <c r="B731" s="1">
        <v>46387</v>
      </c>
      <c r="C731" s="2" t="s">
        <v>5</v>
      </c>
      <c r="D731">
        <v>621</v>
      </c>
      <c r="E731">
        <v>2126</v>
      </c>
      <c r="F731">
        <v>1628</v>
      </c>
      <c r="G731">
        <v>642</v>
      </c>
      <c r="H731">
        <v>316</v>
      </c>
      <c r="I731">
        <v>0.72577282300000001</v>
      </c>
      <c r="J731">
        <v>2.888225598</v>
      </c>
      <c r="K731">
        <v>2312</v>
      </c>
      <c r="L731">
        <v>168</v>
      </c>
      <c r="M731" s="2">
        <v>9</v>
      </c>
      <c r="N731">
        <v>0.91033083000000004</v>
      </c>
      <c r="O731">
        <v>0.92886035099999997</v>
      </c>
      <c r="P731" t="b">
        <v>0</v>
      </c>
      <c r="Q731">
        <v>0.10527391699999999</v>
      </c>
      <c r="R731" s="2">
        <v>1</v>
      </c>
      <c r="S731" s="2" t="str">
        <f t="shared" si="45"/>
        <v>Dec</v>
      </c>
      <c r="T731">
        <f t="shared" si="46"/>
        <v>2026</v>
      </c>
      <c r="U731" s="2" t="str">
        <f t="shared" si="47"/>
        <v>Q4</v>
      </c>
      <c r="V731" t="str">
        <f t="shared" si="48"/>
        <v>Completed</v>
      </c>
    </row>
    <row r="732" spans="1:22" x14ac:dyDescent="0.3">
      <c r="A732" s="2">
        <v>731</v>
      </c>
      <c r="B732" s="1">
        <v>46388</v>
      </c>
      <c r="C732" s="2" t="s">
        <v>17</v>
      </c>
      <c r="D732">
        <v>4711</v>
      </c>
      <c r="E732">
        <v>4223</v>
      </c>
      <c r="F732">
        <v>2206</v>
      </c>
      <c r="G732">
        <v>3077</v>
      </c>
      <c r="H732">
        <v>2835</v>
      </c>
      <c r="I732">
        <v>0.69025741600000001</v>
      </c>
      <c r="J732">
        <v>2.4429135120000001</v>
      </c>
      <c r="K732">
        <v>389</v>
      </c>
      <c r="L732">
        <v>2781</v>
      </c>
      <c r="M732" s="2">
        <v>5</v>
      </c>
      <c r="N732">
        <v>1.7904405510000001</v>
      </c>
      <c r="O732">
        <v>0.92689855200000004</v>
      </c>
      <c r="P732" t="b">
        <v>0</v>
      </c>
      <c r="Q732">
        <v>0.94133278799999998</v>
      </c>
      <c r="R732" s="2">
        <v>1</v>
      </c>
      <c r="S732" s="2" t="str">
        <f t="shared" si="45"/>
        <v>Jan</v>
      </c>
      <c r="T732">
        <f t="shared" si="46"/>
        <v>2027</v>
      </c>
      <c r="U732" s="2" t="str">
        <f t="shared" si="47"/>
        <v>Q1</v>
      </c>
      <c r="V732" t="str">
        <f t="shared" si="48"/>
        <v>Completed</v>
      </c>
    </row>
    <row r="733" spans="1:22" x14ac:dyDescent="0.3">
      <c r="A733" s="2">
        <v>732</v>
      </c>
      <c r="B733" s="1">
        <v>46389</v>
      </c>
      <c r="C733" s="2" t="s">
        <v>16</v>
      </c>
      <c r="D733">
        <v>3516</v>
      </c>
      <c r="E733">
        <v>876</v>
      </c>
      <c r="F733">
        <v>2264</v>
      </c>
      <c r="G733">
        <v>2926</v>
      </c>
      <c r="H733">
        <v>3130</v>
      </c>
      <c r="I733">
        <v>0.56042256999999995</v>
      </c>
      <c r="J733">
        <v>2.6164332990000001</v>
      </c>
      <c r="K733">
        <v>4045</v>
      </c>
      <c r="L733">
        <v>2627</v>
      </c>
      <c r="M733" s="2">
        <v>2</v>
      </c>
      <c r="N733">
        <v>0.67190808700000004</v>
      </c>
      <c r="O733">
        <v>0.82049064900000002</v>
      </c>
      <c r="P733" t="b">
        <v>0</v>
      </c>
      <c r="Q733">
        <v>0.69705641900000004</v>
      </c>
      <c r="R733" s="2">
        <v>0</v>
      </c>
      <c r="S733" s="2" t="str">
        <f t="shared" si="45"/>
        <v>Jan</v>
      </c>
      <c r="T733">
        <f t="shared" si="46"/>
        <v>2027</v>
      </c>
      <c r="U733" s="2" t="str">
        <f t="shared" si="47"/>
        <v>Q1</v>
      </c>
      <c r="V733" t="str">
        <f t="shared" si="48"/>
        <v>Completed</v>
      </c>
    </row>
    <row r="734" spans="1:22" x14ac:dyDescent="0.3">
      <c r="A734" s="2">
        <v>733</v>
      </c>
      <c r="B734" s="1">
        <v>46390</v>
      </c>
      <c r="C734" s="2" t="s">
        <v>16</v>
      </c>
      <c r="D734">
        <v>2557</v>
      </c>
      <c r="E734">
        <v>4496</v>
      </c>
      <c r="F734">
        <v>3064</v>
      </c>
      <c r="G734">
        <v>4813</v>
      </c>
      <c r="H734">
        <v>1730</v>
      </c>
      <c r="I734">
        <v>0.50875851100000002</v>
      </c>
      <c r="J734">
        <v>0.62845145400000002</v>
      </c>
      <c r="K734">
        <v>3486</v>
      </c>
      <c r="L734">
        <v>368</v>
      </c>
      <c r="M734" s="2">
        <v>2</v>
      </c>
      <c r="N734">
        <v>0.81863967100000001</v>
      </c>
      <c r="O734">
        <v>0.92459218200000004</v>
      </c>
      <c r="P734" t="b">
        <v>0</v>
      </c>
      <c r="Q734">
        <v>0.50102207700000001</v>
      </c>
      <c r="R734" s="2">
        <v>1</v>
      </c>
      <c r="S734" s="2" t="str">
        <f t="shared" si="45"/>
        <v>Jan</v>
      </c>
      <c r="T734">
        <f t="shared" si="46"/>
        <v>2027</v>
      </c>
      <c r="U734" s="2" t="str">
        <f t="shared" si="47"/>
        <v>Q1</v>
      </c>
      <c r="V734" t="str">
        <f t="shared" si="48"/>
        <v>Failed</v>
      </c>
    </row>
    <row r="735" spans="1:22" x14ac:dyDescent="0.3">
      <c r="A735" s="2">
        <v>734</v>
      </c>
      <c r="B735" s="1">
        <v>46391</v>
      </c>
      <c r="C735" s="2" t="s">
        <v>18</v>
      </c>
      <c r="D735">
        <v>2108</v>
      </c>
      <c r="E735">
        <v>4486</v>
      </c>
      <c r="F735">
        <v>1491</v>
      </c>
      <c r="G735">
        <v>1111</v>
      </c>
      <c r="H735">
        <v>2959</v>
      </c>
      <c r="I735">
        <v>0.24039793400000001</v>
      </c>
      <c r="J735">
        <v>1.7745890310000001</v>
      </c>
      <c r="K735">
        <v>4138</v>
      </c>
      <c r="L735">
        <v>257</v>
      </c>
      <c r="M735" s="2">
        <v>2</v>
      </c>
      <c r="N735">
        <v>0.64503178299999997</v>
      </c>
      <c r="O735">
        <v>0.86217985100000005</v>
      </c>
      <c r="P735" t="b">
        <v>0</v>
      </c>
      <c r="Q735">
        <v>0.40923957500000002</v>
      </c>
      <c r="R735" s="2">
        <v>1</v>
      </c>
      <c r="S735" s="2" t="str">
        <f t="shared" si="45"/>
        <v>Jan</v>
      </c>
      <c r="T735">
        <f t="shared" si="46"/>
        <v>2027</v>
      </c>
      <c r="U735" s="2" t="str">
        <f t="shared" si="47"/>
        <v>Q1</v>
      </c>
      <c r="V735" t="str">
        <f t="shared" si="48"/>
        <v>Completed</v>
      </c>
    </row>
    <row r="736" spans="1:22" x14ac:dyDescent="0.3">
      <c r="A736" s="2">
        <v>735</v>
      </c>
      <c r="B736" s="1">
        <v>46392</v>
      </c>
      <c r="C736" s="2" t="s">
        <v>18</v>
      </c>
      <c r="D736">
        <v>3014</v>
      </c>
      <c r="E736">
        <v>3284</v>
      </c>
      <c r="F736">
        <v>1222</v>
      </c>
      <c r="G736">
        <v>3084</v>
      </c>
      <c r="H736">
        <v>2482</v>
      </c>
      <c r="I736">
        <v>0.64712086099999999</v>
      </c>
      <c r="J736">
        <v>1.407023924</v>
      </c>
      <c r="K736">
        <v>4514</v>
      </c>
      <c r="L736">
        <v>143</v>
      </c>
      <c r="M736" s="2">
        <v>6</v>
      </c>
      <c r="N736">
        <v>1.6022939540000001</v>
      </c>
      <c r="O736">
        <v>0.82593893799999996</v>
      </c>
      <c r="P736" t="b">
        <v>0</v>
      </c>
      <c r="Q736">
        <v>0.59443990199999996</v>
      </c>
      <c r="R736" s="2">
        <v>1</v>
      </c>
      <c r="S736" s="2" t="str">
        <f t="shared" si="45"/>
        <v>Jan</v>
      </c>
      <c r="T736">
        <f t="shared" si="46"/>
        <v>2027</v>
      </c>
      <c r="U736" s="2" t="str">
        <f t="shared" si="47"/>
        <v>Q1</v>
      </c>
      <c r="V736" t="str">
        <f t="shared" si="48"/>
        <v>Completed</v>
      </c>
    </row>
    <row r="737" spans="1:22" x14ac:dyDescent="0.3">
      <c r="A737" s="2">
        <v>736</v>
      </c>
      <c r="B737" s="1">
        <v>46393</v>
      </c>
      <c r="C737" s="2" t="s">
        <v>17</v>
      </c>
      <c r="D737">
        <v>3809</v>
      </c>
      <c r="E737">
        <v>2844</v>
      </c>
      <c r="F737">
        <v>3204</v>
      </c>
      <c r="G737">
        <v>2016</v>
      </c>
      <c r="H737">
        <v>3836</v>
      </c>
      <c r="I737">
        <v>0.55359503899999996</v>
      </c>
      <c r="J737">
        <v>0.89570951200000004</v>
      </c>
      <c r="K737">
        <v>4775</v>
      </c>
      <c r="L737">
        <v>3065</v>
      </c>
      <c r="M737" s="2">
        <v>2</v>
      </c>
      <c r="N737">
        <v>1.311954106</v>
      </c>
      <c r="O737">
        <v>0.84033003799999995</v>
      </c>
      <c r="P737" t="b">
        <v>0</v>
      </c>
      <c r="Q737">
        <v>0.75695012299999997</v>
      </c>
      <c r="R737" s="2">
        <v>1</v>
      </c>
      <c r="S737" s="2" t="str">
        <f t="shared" si="45"/>
        <v>Jan</v>
      </c>
      <c r="T737">
        <f t="shared" si="46"/>
        <v>2027</v>
      </c>
      <c r="U737" s="2" t="str">
        <f t="shared" si="47"/>
        <v>Q1</v>
      </c>
      <c r="V737" t="str">
        <f t="shared" si="48"/>
        <v>Completed</v>
      </c>
    </row>
    <row r="738" spans="1:22" x14ac:dyDescent="0.3">
      <c r="A738" s="2">
        <v>737</v>
      </c>
      <c r="B738" s="1">
        <v>46394</v>
      </c>
      <c r="C738" s="2" t="s">
        <v>16</v>
      </c>
      <c r="D738">
        <v>3095</v>
      </c>
      <c r="E738">
        <v>2825</v>
      </c>
      <c r="F738">
        <v>1314</v>
      </c>
      <c r="G738">
        <v>3009</v>
      </c>
      <c r="H738">
        <v>2230</v>
      </c>
      <c r="I738">
        <v>0.67042159899999998</v>
      </c>
      <c r="J738">
        <v>2.552836911</v>
      </c>
      <c r="K738">
        <v>2378</v>
      </c>
      <c r="L738">
        <v>444</v>
      </c>
      <c r="M738" s="2">
        <v>3</v>
      </c>
      <c r="N738">
        <v>0.63015478400000002</v>
      </c>
      <c r="O738">
        <v>0.80508895400000002</v>
      </c>
      <c r="P738" t="b">
        <v>0</v>
      </c>
      <c r="Q738">
        <v>0.61099754699999997</v>
      </c>
      <c r="R738" s="2">
        <v>1</v>
      </c>
      <c r="S738" s="2" t="str">
        <f t="shared" si="45"/>
        <v>Jan</v>
      </c>
      <c r="T738">
        <f t="shared" si="46"/>
        <v>2027</v>
      </c>
      <c r="U738" s="2" t="str">
        <f t="shared" si="47"/>
        <v>Q1</v>
      </c>
      <c r="V738" t="str">
        <f t="shared" si="48"/>
        <v>Completed</v>
      </c>
    </row>
    <row r="739" spans="1:22" x14ac:dyDescent="0.3">
      <c r="A739" s="2">
        <v>738</v>
      </c>
      <c r="B739" s="1">
        <v>46395</v>
      </c>
      <c r="C739" s="2" t="s">
        <v>5</v>
      </c>
      <c r="D739">
        <v>2509</v>
      </c>
      <c r="E739">
        <v>2237</v>
      </c>
      <c r="F739">
        <v>2947</v>
      </c>
      <c r="G739">
        <v>3847</v>
      </c>
      <c r="H739">
        <v>925</v>
      </c>
      <c r="I739">
        <v>0.61589872599999995</v>
      </c>
      <c r="J739">
        <v>1.0138896719999999</v>
      </c>
      <c r="K739">
        <v>3685</v>
      </c>
      <c r="L739">
        <v>3803</v>
      </c>
      <c r="M739" s="2">
        <v>2</v>
      </c>
      <c r="N739">
        <v>1.8289162219999999</v>
      </c>
      <c r="O739">
        <v>0.87085921300000002</v>
      </c>
      <c r="P739" t="b">
        <v>0</v>
      </c>
      <c r="Q739">
        <v>0.49121013899999999</v>
      </c>
      <c r="R739" s="2">
        <v>1</v>
      </c>
      <c r="S739" s="2" t="str">
        <f t="shared" si="45"/>
        <v>Jan</v>
      </c>
      <c r="T739">
        <f t="shared" si="46"/>
        <v>2027</v>
      </c>
      <c r="U739" s="2" t="str">
        <f t="shared" si="47"/>
        <v>Q1</v>
      </c>
      <c r="V739" t="str">
        <f t="shared" si="48"/>
        <v>Completed</v>
      </c>
    </row>
    <row r="740" spans="1:22" x14ac:dyDescent="0.3">
      <c r="A740" s="2">
        <v>739</v>
      </c>
      <c r="B740" s="1">
        <v>46396</v>
      </c>
      <c r="C740" s="2" t="s">
        <v>18</v>
      </c>
      <c r="D740">
        <v>1487</v>
      </c>
      <c r="E740">
        <v>2103</v>
      </c>
      <c r="F740">
        <v>1185</v>
      </c>
      <c r="G740">
        <v>2097</v>
      </c>
      <c r="H740">
        <v>1819</v>
      </c>
      <c r="I740">
        <v>0.40553647700000001</v>
      </c>
      <c r="J740">
        <v>1.4727602420000001</v>
      </c>
      <c r="K740">
        <v>821</v>
      </c>
      <c r="L740">
        <v>952</v>
      </c>
      <c r="M740" s="2">
        <v>6</v>
      </c>
      <c r="N740">
        <v>1.9325215090000001</v>
      </c>
      <c r="O740">
        <v>0.86195969800000005</v>
      </c>
      <c r="P740" t="b">
        <v>0</v>
      </c>
      <c r="Q740">
        <v>0.28229762899999999</v>
      </c>
      <c r="R740" s="2">
        <v>1</v>
      </c>
      <c r="S740" s="2" t="str">
        <f t="shared" si="45"/>
        <v>Jan</v>
      </c>
      <c r="T740">
        <f t="shared" si="46"/>
        <v>2027</v>
      </c>
      <c r="U740" s="2" t="str">
        <f t="shared" si="47"/>
        <v>Q1</v>
      </c>
      <c r="V740" t="str">
        <f t="shared" si="48"/>
        <v>Completed</v>
      </c>
    </row>
    <row r="741" spans="1:22" x14ac:dyDescent="0.3">
      <c r="A741" s="2">
        <v>740</v>
      </c>
      <c r="B741" s="1">
        <v>46397</v>
      </c>
      <c r="C741" s="2" t="s">
        <v>16</v>
      </c>
      <c r="D741">
        <v>3687</v>
      </c>
      <c r="E741">
        <v>697</v>
      </c>
      <c r="F741">
        <v>1596</v>
      </c>
      <c r="G741">
        <v>4661</v>
      </c>
      <c r="H741">
        <v>1905</v>
      </c>
      <c r="I741">
        <v>0.43637056000000002</v>
      </c>
      <c r="J741">
        <v>0.77746701299999998</v>
      </c>
      <c r="K741">
        <v>3387</v>
      </c>
      <c r="L741">
        <v>625</v>
      </c>
      <c r="M741" s="2">
        <v>7</v>
      </c>
      <c r="N741">
        <v>1.50205883</v>
      </c>
      <c r="O741">
        <v>0.92349810499999996</v>
      </c>
      <c r="P741" t="b">
        <v>0</v>
      </c>
      <c r="Q741">
        <v>0.73201144699999998</v>
      </c>
      <c r="R741" s="2">
        <v>1</v>
      </c>
      <c r="S741" s="2" t="str">
        <f t="shared" si="45"/>
        <v>Jan</v>
      </c>
      <c r="T741">
        <f t="shared" si="46"/>
        <v>2027</v>
      </c>
      <c r="U741" s="2" t="str">
        <f t="shared" si="47"/>
        <v>Q1</v>
      </c>
      <c r="V741" t="str">
        <f t="shared" si="48"/>
        <v>Completed</v>
      </c>
    </row>
    <row r="742" spans="1:22" x14ac:dyDescent="0.3">
      <c r="A742" s="2">
        <v>741</v>
      </c>
      <c r="B742" s="1">
        <v>46398</v>
      </c>
      <c r="C742" s="2" t="s">
        <v>18</v>
      </c>
      <c r="D742">
        <v>2064</v>
      </c>
      <c r="E742">
        <v>3712</v>
      </c>
      <c r="F742">
        <v>2580</v>
      </c>
      <c r="G742">
        <v>3055</v>
      </c>
      <c r="H742">
        <v>1845</v>
      </c>
      <c r="I742">
        <v>0.79253780600000001</v>
      </c>
      <c r="J742">
        <v>1.181900537</v>
      </c>
      <c r="K742">
        <v>1027</v>
      </c>
      <c r="L742">
        <v>2122</v>
      </c>
      <c r="M742" s="2">
        <v>5</v>
      </c>
      <c r="N742">
        <v>0.65902854</v>
      </c>
      <c r="O742">
        <v>0.87767449799999997</v>
      </c>
      <c r="P742" t="b">
        <v>0</v>
      </c>
      <c r="Q742">
        <v>0.40024529800000003</v>
      </c>
      <c r="R742" s="2">
        <v>1</v>
      </c>
      <c r="S742" s="2" t="str">
        <f t="shared" si="45"/>
        <v>Jan</v>
      </c>
      <c r="T742">
        <f t="shared" si="46"/>
        <v>2027</v>
      </c>
      <c r="U742" s="2" t="str">
        <f t="shared" si="47"/>
        <v>Q1</v>
      </c>
      <c r="V742" t="str">
        <f t="shared" si="48"/>
        <v>Completed</v>
      </c>
    </row>
    <row r="743" spans="1:22" x14ac:dyDescent="0.3">
      <c r="A743" s="2">
        <v>742</v>
      </c>
      <c r="B743" s="1">
        <v>46399</v>
      </c>
      <c r="C743" s="2" t="s">
        <v>18</v>
      </c>
      <c r="D743">
        <v>1970</v>
      </c>
      <c r="E743">
        <v>870</v>
      </c>
      <c r="F743">
        <v>495</v>
      </c>
      <c r="G743">
        <v>4312</v>
      </c>
      <c r="H743">
        <v>3855</v>
      </c>
      <c r="I743">
        <v>0.53426671199999998</v>
      </c>
      <c r="J743">
        <v>2.847612818</v>
      </c>
      <c r="K743">
        <v>458</v>
      </c>
      <c r="L743">
        <v>2471</v>
      </c>
      <c r="M743" s="2">
        <v>2</v>
      </c>
      <c r="N743">
        <v>1.546703556</v>
      </c>
      <c r="O743">
        <v>0.87387086300000005</v>
      </c>
      <c r="P743" t="b">
        <v>0</v>
      </c>
      <c r="Q743">
        <v>0.38103025299999999</v>
      </c>
      <c r="R743" s="2">
        <v>1</v>
      </c>
      <c r="S743" s="2" t="str">
        <f t="shared" si="45"/>
        <v>Jan</v>
      </c>
      <c r="T743">
        <f t="shared" si="46"/>
        <v>2027</v>
      </c>
      <c r="U743" s="2" t="str">
        <f t="shared" si="47"/>
        <v>Q1</v>
      </c>
      <c r="V743" t="str">
        <f t="shared" si="48"/>
        <v>Completed</v>
      </c>
    </row>
    <row r="744" spans="1:22" x14ac:dyDescent="0.3">
      <c r="A744" s="2">
        <v>743</v>
      </c>
      <c r="B744" s="1">
        <v>46400</v>
      </c>
      <c r="C744" s="2" t="s">
        <v>18</v>
      </c>
      <c r="D744">
        <v>3914</v>
      </c>
      <c r="E744">
        <v>907</v>
      </c>
      <c r="F744">
        <v>499</v>
      </c>
      <c r="G744">
        <v>4007</v>
      </c>
      <c r="H744">
        <v>1084</v>
      </c>
      <c r="I744">
        <v>0.426373053</v>
      </c>
      <c r="J744">
        <v>1.5601931769999999</v>
      </c>
      <c r="K744">
        <v>3319</v>
      </c>
      <c r="L744">
        <v>3737</v>
      </c>
      <c r="M744" s="2">
        <v>9</v>
      </c>
      <c r="N744">
        <v>0.75246534399999998</v>
      </c>
      <c r="O744">
        <v>0.87534279699999995</v>
      </c>
      <c r="P744" t="b">
        <v>0</v>
      </c>
      <c r="Q744">
        <v>0.77841373700000005</v>
      </c>
      <c r="R744" s="2">
        <v>1</v>
      </c>
      <c r="S744" s="2" t="str">
        <f t="shared" si="45"/>
        <v>Jan</v>
      </c>
      <c r="T744">
        <f t="shared" si="46"/>
        <v>2027</v>
      </c>
      <c r="U744" s="2" t="str">
        <f t="shared" si="47"/>
        <v>Q1</v>
      </c>
      <c r="V744" t="str">
        <f t="shared" si="48"/>
        <v>Completed</v>
      </c>
    </row>
    <row r="745" spans="1:22" x14ac:dyDescent="0.3">
      <c r="A745" s="2">
        <v>744</v>
      </c>
      <c r="B745" s="1">
        <v>46401</v>
      </c>
      <c r="C745" s="2" t="s">
        <v>5</v>
      </c>
      <c r="D745">
        <v>2951</v>
      </c>
      <c r="E745">
        <v>2670</v>
      </c>
      <c r="F745">
        <v>1560</v>
      </c>
      <c r="G745">
        <v>4066</v>
      </c>
      <c r="H745">
        <v>1905</v>
      </c>
      <c r="I745">
        <v>0.34911858200000001</v>
      </c>
      <c r="J745">
        <v>1.621114296</v>
      </c>
      <c r="K745">
        <v>1126</v>
      </c>
      <c r="L745">
        <v>1781</v>
      </c>
      <c r="M745" s="2">
        <v>6</v>
      </c>
      <c r="N745">
        <v>1.722967812</v>
      </c>
      <c r="O745">
        <v>0.85770426300000002</v>
      </c>
      <c r="P745" t="b">
        <v>0</v>
      </c>
      <c r="Q745">
        <v>0.58156173300000003</v>
      </c>
      <c r="R745" s="2">
        <v>1</v>
      </c>
      <c r="S745" s="2" t="str">
        <f t="shared" si="45"/>
        <v>Jan</v>
      </c>
      <c r="T745">
        <f t="shared" si="46"/>
        <v>2027</v>
      </c>
      <c r="U745" s="2" t="str">
        <f t="shared" si="47"/>
        <v>Q1</v>
      </c>
      <c r="V745" t="str">
        <f t="shared" si="48"/>
        <v>Completed</v>
      </c>
    </row>
    <row r="746" spans="1:22" x14ac:dyDescent="0.3">
      <c r="A746" s="2">
        <v>745</v>
      </c>
      <c r="B746" s="1">
        <v>46402</v>
      </c>
      <c r="C746" s="2" t="s">
        <v>18</v>
      </c>
      <c r="D746">
        <v>3196</v>
      </c>
      <c r="E746">
        <v>2128</v>
      </c>
      <c r="F746">
        <v>1157</v>
      </c>
      <c r="G746">
        <v>4481</v>
      </c>
      <c r="H746">
        <v>507</v>
      </c>
      <c r="I746">
        <v>0.44615768099999997</v>
      </c>
      <c r="J746">
        <v>2.230949099</v>
      </c>
      <c r="K746">
        <v>3261</v>
      </c>
      <c r="L746">
        <v>521</v>
      </c>
      <c r="M746" s="2">
        <v>8</v>
      </c>
      <c r="N746">
        <v>1.4935082550000001</v>
      </c>
      <c r="O746">
        <v>0.93178601599999999</v>
      </c>
      <c r="P746" t="b">
        <v>0</v>
      </c>
      <c r="Q746">
        <v>0.63164350000000002</v>
      </c>
      <c r="R746" s="2">
        <v>1</v>
      </c>
      <c r="S746" s="2" t="str">
        <f t="shared" si="45"/>
        <v>Jan</v>
      </c>
      <c r="T746">
        <f t="shared" si="46"/>
        <v>2027</v>
      </c>
      <c r="U746" s="2" t="str">
        <f t="shared" si="47"/>
        <v>Q1</v>
      </c>
      <c r="V746" t="str">
        <f t="shared" si="48"/>
        <v>Completed</v>
      </c>
    </row>
    <row r="747" spans="1:22" x14ac:dyDescent="0.3">
      <c r="A747" s="2">
        <v>746</v>
      </c>
      <c r="B747" s="1">
        <v>46403</v>
      </c>
      <c r="C747" s="2" t="s">
        <v>18</v>
      </c>
      <c r="D747">
        <v>4916</v>
      </c>
      <c r="E747">
        <v>1451</v>
      </c>
      <c r="F747">
        <v>816</v>
      </c>
      <c r="G747">
        <v>3863</v>
      </c>
      <c r="H747">
        <v>220</v>
      </c>
      <c r="I747">
        <v>0.56993602200000004</v>
      </c>
      <c r="J747">
        <v>1.630206008</v>
      </c>
      <c r="K747">
        <v>1054</v>
      </c>
      <c r="L747">
        <v>887</v>
      </c>
      <c r="M747" s="2">
        <v>3</v>
      </c>
      <c r="N747">
        <v>1.456417042</v>
      </c>
      <c r="O747">
        <v>0.86016952300000005</v>
      </c>
      <c r="P747" t="b">
        <v>0</v>
      </c>
      <c r="Q747">
        <v>0.98323793900000001</v>
      </c>
      <c r="R747" s="2">
        <v>1</v>
      </c>
      <c r="S747" s="2" t="str">
        <f t="shared" si="45"/>
        <v>Jan</v>
      </c>
      <c r="T747">
        <f t="shared" si="46"/>
        <v>2027</v>
      </c>
      <c r="U747" s="2" t="str">
        <f t="shared" si="47"/>
        <v>Q1</v>
      </c>
      <c r="V747" t="str">
        <f t="shared" si="48"/>
        <v>Completed</v>
      </c>
    </row>
    <row r="748" spans="1:22" x14ac:dyDescent="0.3">
      <c r="A748" s="2">
        <v>747</v>
      </c>
      <c r="B748" s="1">
        <v>46404</v>
      </c>
      <c r="C748" s="2" t="s">
        <v>18</v>
      </c>
      <c r="D748">
        <v>141</v>
      </c>
      <c r="E748">
        <v>3991</v>
      </c>
      <c r="F748">
        <v>2070</v>
      </c>
      <c r="G748">
        <v>3367</v>
      </c>
      <c r="H748">
        <v>815</v>
      </c>
      <c r="I748">
        <v>0.43107630699999999</v>
      </c>
      <c r="J748">
        <v>1.5876540530000001</v>
      </c>
      <c r="K748">
        <v>2527</v>
      </c>
      <c r="L748">
        <v>2897</v>
      </c>
      <c r="M748" s="2">
        <v>8</v>
      </c>
      <c r="N748">
        <v>1.436715674</v>
      </c>
      <c r="O748">
        <v>0.86135109799999998</v>
      </c>
      <c r="P748" t="b">
        <v>0</v>
      </c>
      <c r="Q748">
        <v>7.1545380000000002E-3</v>
      </c>
      <c r="R748" s="2">
        <v>1</v>
      </c>
      <c r="S748" s="2" t="str">
        <f t="shared" si="45"/>
        <v>Jan</v>
      </c>
      <c r="T748">
        <f t="shared" si="46"/>
        <v>2027</v>
      </c>
      <c r="U748" s="2" t="str">
        <f t="shared" si="47"/>
        <v>Q1</v>
      </c>
      <c r="V748" t="str">
        <f t="shared" si="48"/>
        <v>Completed</v>
      </c>
    </row>
    <row r="749" spans="1:22" x14ac:dyDescent="0.3">
      <c r="A749" s="2">
        <v>748</v>
      </c>
      <c r="B749" s="1">
        <v>46405</v>
      </c>
      <c r="C749" s="2" t="s">
        <v>18</v>
      </c>
      <c r="D749">
        <v>4375</v>
      </c>
      <c r="E749">
        <v>1672</v>
      </c>
      <c r="F749">
        <v>936</v>
      </c>
      <c r="G749">
        <v>4137</v>
      </c>
      <c r="H749">
        <v>1893</v>
      </c>
      <c r="I749">
        <v>0.31432267699999999</v>
      </c>
      <c r="J749">
        <v>0.96392027000000002</v>
      </c>
      <c r="K749">
        <v>2737</v>
      </c>
      <c r="L749">
        <v>2664</v>
      </c>
      <c r="M749" s="2">
        <v>7</v>
      </c>
      <c r="N749">
        <v>1.3108211059999999</v>
      </c>
      <c r="O749">
        <v>0.99381688599999995</v>
      </c>
      <c r="P749" t="b">
        <v>0</v>
      </c>
      <c r="Q749">
        <v>0.87264922300000003</v>
      </c>
      <c r="R749" s="2">
        <v>1</v>
      </c>
      <c r="S749" s="2" t="str">
        <f t="shared" si="45"/>
        <v>Jan</v>
      </c>
      <c r="T749">
        <f t="shared" si="46"/>
        <v>2027</v>
      </c>
      <c r="U749" s="2" t="str">
        <f t="shared" si="47"/>
        <v>Q1</v>
      </c>
      <c r="V749" t="str">
        <f t="shared" si="48"/>
        <v>Completed</v>
      </c>
    </row>
    <row r="750" spans="1:22" x14ac:dyDescent="0.3">
      <c r="A750" s="2">
        <v>749</v>
      </c>
      <c r="B750" s="1">
        <v>46406</v>
      </c>
      <c r="C750" s="2" t="s">
        <v>16</v>
      </c>
      <c r="D750">
        <v>3077</v>
      </c>
      <c r="E750">
        <v>2646</v>
      </c>
      <c r="F750">
        <v>2653</v>
      </c>
      <c r="G750">
        <v>2986</v>
      </c>
      <c r="H750">
        <v>127</v>
      </c>
      <c r="I750">
        <v>0.49399250700000003</v>
      </c>
      <c r="J750">
        <v>0.87403062099999995</v>
      </c>
      <c r="K750">
        <v>306</v>
      </c>
      <c r="L750">
        <v>797</v>
      </c>
      <c r="M750" s="2">
        <v>5</v>
      </c>
      <c r="N750">
        <v>0.73965488400000001</v>
      </c>
      <c r="O750">
        <v>0.98736803699999998</v>
      </c>
      <c r="P750" t="b">
        <v>0</v>
      </c>
      <c r="Q750">
        <v>0.60731807000000004</v>
      </c>
      <c r="R750" s="2">
        <v>1</v>
      </c>
      <c r="S750" s="2" t="str">
        <f t="shared" si="45"/>
        <v>Jan</v>
      </c>
      <c r="T750">
        <f t="shared" si="46"/>
        <v>2027</v>
      </c>
      <c r="U750" s="2" t="str">
        <f t="shared" si="47"/>
        <v>Q1</v>
      </c>
      <c r="V750" t="str">
        <f t="shared" si="48"/>
        <v>Completed</v>
      </c>
    </row>
    <row r="751" spans="1:22" x14ac:dyDescent="0.3">
      <c r="A751" s="2">
        <v>750</v>
      </c>
      <c r="B751" s="1">
        <v>46407</v>
      </c>
      <c r="C751" s="2" t="s">
        <v>16</v>
      </c>
      <c r="D751">
        <v>4506</v>
      </c>
      <c r="E751">
        <v>3480</v>
      </c>
      <c r="F751">
        <v>248</v>
      </c>
      <c r="G751">
        <v>4552</v>
      </c>
      <c r="H751">
        <v>3397</v>
      </c>
      <c r="I751">
        <v>0.64802543499999998</v>
      </c>
      <c r="J751">
        <v>2.963445273</v>
      </c>
      <c r="K751">
        <v>2102</v>
      </c>
      <c r="L751">
        <v>447</v>
      </c>
      <c r="M751" s="2">
        <v>2</v>
      </c>
      <c r="N751">
        <v>0.91406516599999998</v>
      </c>
      <c r="O751">
        <v>0.88623981900000004</v>
      </c>
      <c r="P751" t="b">
        <v>0</v>
      </c>
      <c r="Q751">
        <v>0.89942763699999995</v>
      </c>
      <c r="R751" s="2">
        <v>1</v>
      </c>
      <c r="S751" s="2" t="str">
        <f t="shared" si="45"/>
        <v>Jan</v>
      </c>
      <c r="T751">
        <f t="shared" si="46"/>
        <v>2027</v>
      </c>
      <c r="U751" s="2" t="str">
        <f t="shared" si="47"/>
        <v>Q1</v>
      </c>
      <c r="V751" t="str">
        <f t="shared" si="48"/>
        <v>Completed</v>
      </c>
    </row>
    <row r="752" spans="1:22" x14ac:dyDescent="0.3">
      <c r="A752" s="2">
        <v>751</v>
      </c>
      <c r="B752" s="1">
        <v>46408</v>
      </c>
      <c r="C752" s="2" t="s">
        <v>5</v>
      </c>
      <c r="D752">
        <v>4230</v>
      </c>
      <c r="E752">
        <v>3406</v>
      </c>
      <c r="F752">
        <v>1712</v>
      </c>
      <c r="G752">
        <v>4072</v>
      </c>
      <c r="H752">
        <v>549</v>
      </c>
      <c r="I752">
        <v>0.33171557400000001</v>
      </c>
      <c r="J752">
        <v>1.1526359239999999</v>
      </c>
      <c r="K752">
        <v>4743</v>
      </c>
      <c r="L752">
        <v>3857</v>
      </c>
      <c r="M752" s="2">
        <v>6</v>
      </c>
      <c r="N752">
        <v>1.4726789410000001</v>
      </c>
      <c r="O752">
        <v>0.84083577200000004</v>
      </c>
      <c r="P752" t="b">
        <v>0</v>
      </c>
      <c r="Q752">
        <v>0.84300899399999996</v>
      </c>
      <c r="R752" s="2">
        <v>1</v>
      </c>
      <c r="S752" s="2" t="str">
        <f t="shared" si="45"/>
        <v>Jan</v>
      </c>
      <c r="T752">
        <f t="shared" si="46"/>
        <v>2027</v>
      </c>
      <c r="U752" s="2" t="str">
        <f t="shared" si="47"/>
        <v>Q1</v>
      </c>
      <c r="V752" t="str">
        <f t="shared" si="48"/>
        <v>Completed</v>
      </c>
    </row>
    <row r="753" spans="1:22" x14ac:dyDescent="0.3">
      <c r="A753" s="2">
        <v>752</v>
      </c>
      <c r="B753" s="1">
        <v>46409</v>
      </c>
      <c r="C753" s="2" t="s">
        <v>18</v>
      </c>
      <c r="D753">
        <v>3644</v>
      </c>
      <c r="E753">
        <v>4241</v>
      </c>
      <c r="F753">
        <v>2394</v>
      </c>
      <c r="G753">
        <v>3147</v>
      </c>
      <c r="H753">
        <v>341</v>
      </c>
      <c r="I753">
        <v>0.38869461100000002</v>
      </c>
      <c r="J753">
        <v>2.9122052119999999</v>
      </c>
      <c r="K753">
        <v>1973</v>
      </c>
      <c r="L753">
        <v>3665</v>
      </c>
      <c r="M753" s="2">
        <v>2</v>
      </c>
      <c r="N753">
        <v>0.53169954799999997</v>
      </c>
      <c r="O753">
        <v>0.96245638200000005</v>
      </c>
      <c r="P753" t="b">
        <v>0</v>
      </c>
      <c r="Q753">
        <v>0.72322158599999997</v>
      </c>
      <c r="R753" s="2">
        <v>1</v>
      </c>
      <c r="S753" s="2" t="str">
        <f t="shared" si="45"/>
        <v>Jan</v>
      </c>
      <c r="T753">
        <f t="shared" si="46"/>
        <v>2027</v>
      </c>
      <c r="U753" s="2" t="str">
        <f t="shared" si="47"/>
        <v>Q1</v>
      </c>
      <c r="V753" t="str">
        <f t="shared" si="48"/>
        <v>Completed</v>
      </c>
    </row>
    <row r="754" spans="1:22" x14ac:dyDescent="0.3">
      <c r="A754" s="2">
        <v>753</v>
      </c>
      <c r="B754" s="1">
        <v>46410</v>
      </c>
      <c r="C754" s="2" t="s">
        <v>18</v>
      </c>
      <c r="D754">
        <v>4050</v>
      </c>
      <c r="E754">
        <v>1789</v>
      </c>
      <c r="F754">
        <v>3953</v>
      </c>
      <c r="G754">
        <v>4787</v>
      </c>
      <c r="H754">
        <v>3317</v>
      </c>
      <c r="I754">
        <v>0.44007442400000002</v>
      </c>
      <c r="J754">
        <v>1.1732808889999999</v>
      </c>
      <c r="K754">
        <v>698</v>
      </c>
      <c r="L754">
        <v>3670</v>
      </c>
      <c r="M754" s="2">
        <v>6</v>
      </c>
      <c r="N754">
        <v>0.72961766400000005</v>
      </c>
      <c r="O754">
        <v>0.86330311599999998</v>
      </c>
      <c r="P754" t="b">
        <v>0</v>
      </c>
      <c r="Q754">
        <v>0.80621422700000001</v>
      </c>
      <c r="R754" s="2">
        <v>1</v>
      </c>
      <c r="S754" s="2" t="str">
        <f t="shared" si="45"/>
        <v>Jan</v>
      </c>
      <c r="T754">
        <f t="shared" si="46"/>
        <v>2027</v>
      </c>
      <c r="U754" s="2" t="str">
        <f t="shared" si="47"/>
        <v>Q1</v>
      </c>
      <c r="V754" t="str">
        <f t="shared" si="48"/>
        <v>Completed</v>
      </c>
    </row>
    <row r="755" spans="1:22" x14ac:dyDescent="0.3">
      <c r="A755" s="2">
        <v>754</v>
      </c>
      <c r="B755" s="1">
        <v>46411</v>
      </c>
      <c r="C755" s="2" t="s">
        <v>16</v>
      </c>
      <c r="D755">
        <v>4866</v>
      </c>
      <c r="E755">
        <v>2212</v>
      </c>
      <c r="F755">
        <v>1481</v>
      </c>
      <c r="G755">
        <v>2488</v>
      </c>
      <c r="H755">
        <v>3480</v>
      </c>
      <c r="I755">
        <v>0.35584346100000003</v>
      </c>
      <c r="J755">
        <v>1.312217226</v>
      </c>
      <c r="K755">
        <v>2921</v>
      </c>
      <c r="L755">
        <v>2180</v>
      </c>
      <c r="M755" s="2">
        <v>4</v>
      </c>
      <c r="N755">
        <v>1.145952895</v>
      </c>
      <c r="O755">
        <v>0.88010887100000001</v>
      </c>
      <c r="P755" t="b">
        <v>0</v>
      </c>
      <c r="Q755">
        <v>0.97301717099999996</v>
      </c>
      <c r="R755" s="2">
        <v>1</v>
      </c>
      <c r="S755" s="2" t="str">
        <f t="shared" si="45"/>
        <v>Jan</v>
      </c>
      <c r="T755">
        <f t="shared" si="46"/>
        <v>2027</v>
      </c>
      <c r="U755" s="2" t="str">
        <f t="shared" si="47"/>
        <v>Q1</v>
      </c>
      <c r="V755" t="str">
        <f t="shared" si="48"/>
        <v>Completed</v>
      </c>
    </row>
    <row r="756" spans="1:22" x14ac:dyDescent="0.3">
      <c r="A756" s="2">
        <v>755</v>
      </c>
      <c r="B756" s="1">
        <v>46412</v>
      </c>
      <c r="C756" s="2" t="s">
        <v>16</v>
      </c>
      <c r="D756">
        <v>962</v>
      </c>
      <c r="E756">
        <v>3780</v>
      </c>
      <c r="F756">
        <v>1040</v>
      </c>
      <c r="G756">
        <v>691</v>
      </c>
      <c r="H756">
        <v>3212</v>
      </c>
      <c r="I756">
        <v>0.76382480100000005</v>
      </c>
      <c r="J756">
        <v>1.671536103</v>
      </c>
      <c r="K756">
        <v>3713</v>
      </c>
      <c r="L756">
        <v>1763</v>
      </c>
      <c r="M756" s="2">
        <v>8</v>
      </c>
      <c r="N756">
        <v>0.648229367</v>
      </c>
      <c r="O756">
        <v>0.86265564500000003</v>
      </c>
      <c r="P756" t="b">
        <v>0</v>
      </c>
      <c r="Q756">
        <v>0.17497955800000001</v>
      </c>
      <c r="R756" s="2">
        <v>1</v>
      </c>
      <c r="S756" s="2" t="str">
        <f t="shared" si="45"/>
        <v>Jan</v>
      </c>
      <c r="T756">
        <f t="shared" si="46"/>
        <v>2027</v>
      </c>
      <c r="U756" s="2" t="str">
        <f t="shared" si="47"/>
        <v>Q1</v>
      </c>
      <c r="V756" t="str">
        <f t="shared" si="48"/>
        <v>Completed</v>
      </c>
    </row>
    <row r="757" spans="1:22" x14ac:dyDescent="0.3">
      <c r="A757" s="2">
        <v>756</v>
      </c>
      <c r="B757" s="1">
        <v>46413</v>
      </c>
      <c r="C757" s="2" t="s">
        <v>17</v>
      </c>
      <c r="D757">
        <v>1927</v>
      </c>
      <c r="E757">
        <v>1242</v>
      </c>
      <c r="F757">
        <v>3730</v>
      </c>
      <c r="G757">
        <v>880</v>
      </c>
      <c r="H757">
        <v>2519</v>
      </c>
      <c r="I757">
        <v>0.62814768600000004</v>
      </c>
      <c r="J757">
        <v>1.355293372</v>
      </c>
      <c r="K757">
        <v>4482</v>
      </c>
      <c r="L757">
        <v>714</v>
      </c>
      <c r="M757" s="2">
        <v>7</v>
      </c>
      <c r="N757">
        <v>0.57043921500000005</v>
      </c>
      <c r="O757">
        <v>0.82461594800000004</v>
      </c>
      <c r="P757" t="b">
        <v>0</v>
      </c>
      <c r="Q757">
        <v>0.37224039199999998</v>
      </c>
      <c r="R757" s="2">
        <v>1</v>
      </c>
      <c r="S757" s="2" t="str">
        <f t="shared" si="45"/>
        <v>Jan</v>
      </c>
      <c r="T757">
        <f t="shared" si="46"/>
        <v>2027</v>
      </c>
      <c r="U757" s="2" t="str">
        <f t="shared" si="47"/>
        <v>Q1</v>
      </c>
      <c r="V757" t="str">
        <f t="shared" si="48"/>
        <v>Completed</v>
      </c>
    </row>
    <row r="758" spans="1:22" x14ac:dyDescent="0.3">
      <c r="A758" s="2">
        <v>757</v>
      </c>
      <c r="B758" s="1">
        <v>46414</v>
      </c>
      <c r="C758" s="2" t="s">
        <v>5</v>
      </c>
      <c r="D758">
        <v>2805</v>
      </c>
      <c r="E758">
        <v>2991</v>
      </c>
      <c r="F758">
        <v>3556</v>
      </c>
      <c r="G758">
        <v>3039</v>
      </c>
      <c r="H758">
        <v>2453</v>
      </c>
      <c r="I758">
        <v>0.26185618199999999</v>
      </c>
      <c r="J758">
        <v>2.0359122059999999</v>
      </c>
      <c r="K758">
        <v>4897</v>
      </c>
      <c r="L758">
        <v>394</v>
      </c>
      <c r="M758" s="2">
        <v>2</v>
      </c>
      <c r="N758">
        <v>1.7705696</v>
      </c>
      <c r="O758">
        <v>0.91457460000000002</v>
      </c>
      <c r="P758" t="b">
        <v>0</v>
      </c>
      <c r="Q758">
        <v>0.55171708900000005</v>
      </c>
      <c r="R758" s="2">
        <v>1</v>
      </c>
      <c r="S758" s="2" t="str">
        <f t="shared" si="45"/>
        <v>Jan</v>
      </c>
      <c r="T758">
        <f t="shared" si="46"/>
        <v>2027</v>
      </c>
      <c r="U758" s="2" t="str">
        <f t="shared" si="47"/>
        <v>Q1</v>
      </c>
      <c r="V758" t="str">
        <f t="shared" si="48"/>
        <v>Completed</v>
      </c>
    </row>
    <row r="759" spans="1:22" x14ac:dyDescent="0.3">
      <c r="A759" s="2">
        <v>758</v>
      </c>
      <c r="B759" s="1">
        <v>46415</v>
      </c>
      <c r="C759" s="2" t="s">
        <v>17</v>
      </c>
      <c r="D759">
        <v>3692</v>
      </c>
      <c r="E759">
        <v>1186</v>
      </c>
      <c r="F759">
        <v>2031</v>
      </c>
      <c r="G759">
        <v>1049</v>
      </c>
      <c r="H759">
        <v>2691</v>
      </c>
      <c r="I759">
        <v>0.47794510000000001</v>
      </c>
      <c r="J759">
        <v>0.56703462599999999</v>
      </c>
      <c r="K759">
        <v>756</v>
      </c>
      <c r="L759">
        <v>158</v>
      </c>
      <c r="M759" s="2">
        <v>4</v>
      </c>
      <c r="N759">
        <v>0.59729025099999999</v>
      </c>
      <c r="O759">
        <v>0.84936134699999999</v>
      </c>
      <c r="P759" t="b">
        <v>0</v>
      </c>
      <c r="Q759">
        <v>0.73303352399999999</v>
      </c>
      <c r="R759" s="2">
        <v>1</v>
      </c>
      <c r="S759" s="2" t="str">
        <f t="shared" si="45"/>
        <v>Jan</v>
      </c>
      <c r="T759">
        <f t="shared" si="46"/>
        <v>2027</v>
      </c>
      <c r="U759" s="2" t="str">
        <f t="shared" si="47"/>
        <v>Q1</v>
      </c>
      <c r="V759" t="str">
        <f t="shared" si="48"/>
        <v>Completed</v>
      </c>
    </row>
    <row r="760" spans="1:22" x14ac:dyDescent="0.3">
      <c r="A760" s="2">
        <v>759</v>
      </c>
      <c r="B760" s="1">
        <v>46416</v>
      </c>
      <c r="C760" s="2" t="s">
        <v>16</v>
      </c>
      <c r="D760">
        <v>436</v>
      </c>
      <c r="E760">
        <v>2212</v>
      </c>
      <c r="F760">
        <v>1278</v>
      </c>
      <c r="G760">
        <v>2571</v>
      </c>
      <c r="H760">
        <v>337</v>
      </c>
      <c r="I760">
        <v>0.75578349199999995</v>
      </c>
      <c r="J760">
        <v>1.144827228</v>
      </c>
      <c r="K760">
        <v>4983</v>
      </c>
      <c r="L760">
        <v>436</v>
      </c>
      <c r="M760" s="2">
        <v>5</v>
      </c>
      <c r="N760">
        <v>1.328370617</v>
      </c>
      <c r="O760">
        <v>0.88867104200000002</v>
      </c>
      <c r="P760" t="b">
        <v>0</v>
      </c>
      <c r="Q760">
        <v>6.7457073000000006E-2</v>
      </c>
      <c r="R760" s="2">
        <v>1</v>
      </c>
      <c r="S760" s="2" t="str">
        <f t="shared" si="45"/>
        <v>Jan</v>
      </c>
      <c r="T760">
        <f t="shared" si="46"/>
        <v>2027</v>
      </c>
      <c r="U760" s="2" t="str">
        <f t="shared" si="47"/>
        <v>Q1</v>
      </c>
      <c r="V760" t="str">
        <f t="shared" si="48"/>
        <v>Completed</v>
      </c>
    </row>
    <row r="761" spans="1:22" x14ac:dyDescent="0.3">
      <c r="A761" s="2">
        <v>760</v>
      </c>
      <c r="B761" s="1">
        <v>46417</v>
      </c>
      <c r="C761" s="2" t="s">
        <v>5</v>
      </c>
      <c r="D761">
        <v>2730</v>
      </c>
      <c r="E761">
        <v>1060</v>
      </c>
      <c r="F761">
        <v>2861</v>
      </c>
      <c r="G761">
        <v>642</v>
      </c>
      <c r="H761">
        <v>898</v>
      </c>
      <c r="I761">
        <v>0.67160617099999997</v>
      </c>
      <c r="J761">
        <v>1.582936728</v>
      </c>
      <c r="K761">
        <v>3696</v>
      </c>
      <c r="L761">
        <v>3696</v>
      </c>
      <c r="M761" s="2">
        <v>4</v>
      </c>
      <c r="N761">
        <v>1.526066811</v>
      </c>
      <c r="O761">
        <v>0.91946681100000005</v>
      </c>
      <c r="P761" t="b">
        <v>0</v>
      </c>
      <c r="Q761">
        <v>0.53638593599999995</v>
      </c>
      <c r="R761" s="2">
        <v>1</v>
      </c>
      <c r="S761" s="2" t="str">
        <f t="shared" si="45"/>
        <v>Jan</v>
      </c>
      <c r="T761">
        <f t="shared" si="46"/>
        <v>2027</v>
      </c>
      <c r="U761" s="2" t="str">
        <f t="shared" si="47"/>
        <v>Q1</v>
      </c>
      <c r="V761" t="str">
        <f t="shared" si="48"/>
        <v>Completed</v>
      </c>
    </row>
    <row r="762" spans="1:22" x14ac:dyDescent="0.3">
      <c r="A762" s="2">
        <v>761</v>
      </c>
      <c r="B762" s="1">
        <v>46418</v>
      </c>
      <c r="C762" s="2" t="s">
        <v>18</v>
      </c>
      <c r="D762">
        <v>2753</v>
      </c>
      <c r="E762">
        <v>4080</v>
      </c>
      <c r="F762">
        <v>3277</v>
      </c>
      <c r="G762">
        <v>4325</v>
      </c>
      <c r="H762">
        <v>2075</v>
      </c>
      <c r="I762">
        <v>0.42869459100000001</v>
      </c>
      <c r="J762">
        <v>2.5310325900000001</v>
      </c>
      <c r="K762">
        <v>199</v>
      </c>
      <c r="L762">
        <v>1795</v>
      </c>
      <c r="M762" s="2">
        <v>5</v>
      </c>
      <c r="N762">
        <v>1.086191758</v>
      </c>
      <c r="O762">
        <v>0.97860714400000004</v>
      </c>
      <c r="P762" t="b">
        <v>0</v>
      </c>
      <c r="Q762">
        <v>0.54108749</v>
      </c>
      <c r="R762" s="2">
        <v>1</v>
      </c>
      <c r="S762" s="2" t="str">
        <f t="shared" si="45"/>
        <v>Jan</v>
      </c>
      <c r="T762">
        <f t="shared" si="46"/>
        <v>2027</v>
      </c>
      <c r="U762" s="2" t="str">
        <f t="shared" si="47"/>
        <v>Q1</v>
      </c>
      <c r="V762" t="str">
        <f t="shared" si="48"/>
        <v>Completed</v>
      </c>
    </row>
    <row r="763" spans="1:22" x14ac:dyDescent="0.3">
      <c r="A763" s="2">
        <v>762</v>
      </c>
      <c r="B763" s="1">
        <v>46419</v>
      </c>
      <c r="C763" s="2" t="s">
        <v>16</v>
      </c>
      <c r="D763">
        <v>3363</v>
      </c>
      <c r="E763">
        <v>2653</v>
      </c>
      <c r="F763">
        <v>1741</v>
      </c>
      <c r="G763">
        <v>478</v>
      </c>
      <c r="H763">
        <v>3841</v>
      </c>
      <c r="I763">
        <v>0.78827879899999997</v>
      </c>
      <c r="J763">
        <v>1.4470066070000001</v>
      </c>
      <c r="K763">
        <v>4892</v>
      </c>
      <c r="L763">
        <v>2869</v>
      </c>
      <c r="M763" s="2">
        <v>3</v>
      </c>
      <c r="N763">
        <v>0.66922859899999998</v>
      </c>
      <c r="O763">
        <v>0.99568727499999998</v>
      </c>
      <c r="P763" t="b">
        <v>0</v>
      </c>
      <c r="Q763">
        <v>0.66578086700000005</v>
      </c>
      <c r="R763" s="2">
        <v>1</v>
      </c>
      <c r="S763" s="2" t="str">
        <f t="shared" si="45"/>
        <v>Feb</v>
      </c>
      <c r="T763">
        <f t="shared" si="46"/>
        <v>2027</v>
      </c>
      <c r="U763" s="2" t="str">
        <f t="shared" si="47"/>
        <v>Q1</v>
      </c>
      <c r="V763" t="str">
        <f t="shared" si="48"/>
        <v>Completed</v>
      </c>
    </row>
    <row r="764" spans="1:22" x14ac:dyDescent="0.3">
      <c r="A764" s="2">
        <v>763</v>
      </c>
      <c r="B764" s="1">
        <v>46420</v>
      </c>
      <c r="C764" s="2" t="s">
        <v>5</v>
      </c>
      <c r="D764">
        <v>2148</v>
      </c>
      <c r="E764">
        <v>2750</v>
      </c>
      <c r="F764">
        <v>3525</v>
      </c>
      <c r="G764">
        <v>416</v>
      </c>
      <c r="H764">
        <v>1985</v>
      </c>
      <c r="I764">
        <v>0.40887633499999998</v>
      </c>
      <c r="J764">
        <v>1.932109321</v>
      </c>
      <c r="K764">
        <v>122</v>
      </c>
      <c r="L764">
        <v>2512</v>
      </c>
      <c r="M764" s="2">
        <v>5</v>
      </c>
      <c r="N764">
        <v>1.6154032389999999</v>
      </c>
      <c r="O764">
        <v>0.91464257900000001</v>
      </c>
      <c r="P764" t="b">
        <v>0</v>
      </c>
      <c r="Q764">
        <v>0.41741619000000002</v>
      </c>
      <c r="R764" s="2">
        <v>1</v>
      </c>
      <c r="S764" s="2" t="str">
        <f t="shared" si="45"/>
        <v>Feb</v>
      </c>
      <c r="T764">
        <f t="shared" si="46"/>
        <v>2027</v>
      </c>
      <c r="U764" s="2" t="str">
        <f t="shared" si="47"/>
        <v>Q1</v>
      </c>
      <c r="V764" t="str">
        <f t="shared" si="48"/>
        <v>Completed</v>
      </c>
    </row>
    <row r="765" spans="1:22" x14ac:dyDescent="0.3">
      <c r="A765" s="2">
        <v>764</v>
      </c>
      <c r="B765" s="1">
        <v>46421</v>
      </c>
      <c r="C765" s="2" t="s">
        <v>18</v>
      </c>
      <c r="D765">
        <v>2574</v>
      </c>
      <c r="E765">
        <v>1945</v>
      </c>
      <c r="F765">
        <v>1896</v>
      </c>
      <c r="G765">
        <v>813</v>
      </c>
      <c r="H765">
        <v>660</v>
      </c>
      <c r="I765">
        <v>0.66299279200000005</v>
      </c>
      <c r="J765">
        <v>2.1273968440000002</v>
      </c>
      <c r="K765">
        <v>4940</v>
      </c>
      <c r="L765">
        <v>3468</v>
      </c>
      <c r="M765" s="2">
        <v>1</v>
      </c>
      <c r="N765">
        <v>0.53423625500000005</v>
      </c>
      <c r="O765">
        <v>0.960707376</v>
      </c>
      <c r="P765" t="b">
        <v>1</v>
      </c>
      <c r="Q765">
        <v>0.50449713799999996</v>
      </c>
      <c r="R765" s="2">
        <v>1</v>
      </c>
      <c r="S765" s="2" t="str">
        <f t="shared" si="45"/>
        <v>Feb</v>
      </c>
      <c r="T765">
        <f t="shared" si="46"/>
        <v>2027</v>
      </c>
      <c r="U765" s="2" t="str">
        <f t="shared" si="47"/>
        <v>Q1</v>
      </c>
      <c r="V765" t="str">
        <f t="shared" si="48"/>
        <v>Completed</v>
      </c>
    </row>
    <row r="766" spans="1:22" x14ac:dyDescent="0.3">
      <c r="A766" s="2">
        <v>765</v>
      </c>
      <c r="B766" s="1">
        <v>46422</v>
      </c>
      <c r="C766" s="2" t="s">
        <v>17</v>
      </c>
      <c r="D766">
        <v>201</v>
      </c>
      <c r="E766">
        <v>509</v>
      </c>
      <c r="F766">
        <v>3256</v>
      </c>
      <c r="G766">
        <v>1038</v>
      </c>
      <c r="H766">
        <v>1809</v>
      </c>
      <c r="I766">
        <v>0.41233134900000001</v>
      </c>
      <c r="J766">
        <v>0.72553227099999995</v>
      </c>
      <c r="K766">
        <v>4509</v>
      </c>
      <c r="L766">
        <v>670</v>
      </c>
      <c r="M766" s="2">
        <v>1</v>
      </c>
      <c r="N766">
        <v>0.69073991899999998</v>
      </c>
      <c r="O766">
        <v>0.82677508799999999</v>
      </c>
      <c r="P766" t="b">
        <v>0</v>
      </c>
      <c r="Q766">
        <v>1.9419459999999999E-2</v>
      </c>
      <c r="R766" s="2">
        <v>1</v>
      </c>
      <c r="S766" s="2" t="str">
        <f t="shared" si="45"/>
        <v>Feb</v>
      </c>
      <c r="T766">
        <f t="shared" si="46"/>
        <v>2027</v>
      </c>
      <c r="U766" s="2" t="str">
        <f t="shared" si="47"/>
        <v>Q1</v>
      </c>
      <c r="V766" t="str">
        <f t="shared" si="48"/>
        <v>Completed</v>
      </c>
    </row>
    <row r="767" spans="1:22" x14ac:dyDescent="0.3">
      <c r="A767" s="2">
        <v>766</v>
      </c>
      <c r="B767" s="1">
        <v>46423</v>
      </c>
      <c r="C767" s="2" t="s">
        <v>18</v>
      </c>
      <c r="D767">
        <v>1867</v>
      </c>
      <c r="E767">
        <v>2356</v>
      </c>
      <c r="F767">
        <v>555</v>
      </c>
      <c r="G767">
        <v>2659</v>
      </c>
      <c r="H767">
        <v>3244</v>
      </c>
      <c r="I767">
        <v>0.69770050299999997</v>
      </c>
      <c r="J767">
        <v>0.67034935799999995</v>
      </c>
      <c r="K767">
        <v>4489</v>
      </c>
      <c r="L767">
        <v>2602</v>
      </c>
      <c r="M767" s="2">
        <v>7</v>
      </c>
      <c r="N767">
        <v>1.999772731</v>
      </c>
      <c r="O767">
        <v>0.81002484600000002</v>
      </c>
      <c r="P767" t="b">
        <v>0</v>
      </c>
      <c r="Q767">
        <v>0.35997547000000002</v>
      </c>
      <c r="R767" s="2">
        <v>1</v>
      </c>
      <c r="S767" s="2" t="str">
        <f t="shared" si="45"/>
        <v>Feb</v>
      </c>
      <c r="T767">
        <f t="shared" si="46"/>
        <v>2027</v>
      </c>
      <c r="U767" s="2" t="str">
        <f t="shared" si="47"/>
        <v>Q1</v>
      </c>
      <c r="V767" t="str">
        <f t="shared" si="48"/>
        <v>Completed</v>
      </c>
    </row>
    <row r="768" spans="1:22" x14ac:dyDescent="0.3">
      <c r="A768" s="2">
        <v>767</v>
      </c>
      <c r="B768" s="1">
        <v>46424</v>
      </c>
      <c r="C768" s="2" t="s">
        <v>18</v>
      </c>
      <c r="D768">
        <v>535</v>
      </c>
      <c r="E768">
        <v>2259</v>
      </c>
      <c r="F768">
        <v>1912</v>
      </c>
      <c r="G768">
        <v>405</v>
      </c>
      <c r="H768">
        <v>3471</v>
      </c>
      <c r="I768">
        <v>0.28314472200000002</v>
      </c>
      <c r="J768">
        <v>0.52021145899999999</v>
      </c>
      <c r="K768">
        <v>3342</v>
      </c>
      <c r="L768">
        <v>2844</v>
      </c>
      <c r="M768" s="2">
        <v>9</v>
      </c>
      <c r="N768">
        <v>0.63609205999999996</v>
      </c>
      <c r="O768">
        <v>0.80900793500000001</v>
      </c>
      <c r="P768" t="b">
        <v>0</v>
      </c>
      <c r="Q768">
        <v>8.7694195000000003E-2</v>
      </c>
      <c r="R768" s="2">
        <v>1</v>
      </c>
      <c r="S768" s="2" t="str">
        <f t="shared" si="45"/>
        <v>Feb</v>
      </c>
      <c r="T768">
        <f t="shared" si="46"/>
        <v>2027</v>
      </c>
      <c r="U768" s="2" t="str">
        <f t="shared" si="47"/>
        <v>Q1</v>
      </c>
      <c r="V768" t="str">
        <f t="shared" si="48"/>
        <v>Completed</v>
      </c>
    </row>
    <row r="769" spans="1:22" x14ac:dyDescent="0.3">
      <c r="A769" s="2">
        <v>768</v>
      </c>
      <c r="B769" s="1">
        <v>46425</v>
      </c>
      <c r="C769" s="2" t="s">
        <v>18</v>
      </c>
      <c r="D769">
        <v>3039</v>
      </c>
      <c r="E769">
        <v>1031</v>
      </c>
      <c r="F769">
        <v>1930</v>
      </c>
      <c r="G769">
        <v>4848</v>
      </c>
      <c r="H769">
        <v>818</v>
      </c>
      <c r="I769">
        <v>0.48251103099999998</v>
      </c>
      <c r="J769">
        <v>2.3768897899999999</v>
      </c>
      <c r="K769">
        <v>226</v>
      </c>
      <c r="L769">
        <v>868</v>
      </c>
      <c r="M769" s="2">
        <v>9</v>
      </c>
      <c r="N769">
        <v>0.55002792599999994</v>
      </c>
      <c r="O769">
        <v>0.80290927300000003</v>
      </c>
      <c r="P769" t="b">
        <v>0</v>
      </c>
      <c r="Q769">
        <v>0.59955028600000004</v>
      </c>
      <c r="R769" s="2">
        <v>1</v>
      </c>
      <c r="S769" s="2" t="str">
        <f t="shared" si="45"/>
        <v>Feb</v>
      </c>
      <c r="T769">
        <f t="shared" si="46"/>
        <v>2027</v>
      </c>
      <c r="U769" s="2" t="str">
        <f t="shared" si="47"/>
        <v>Q1</v>
      </c>
      <c r="V769" t="str">
        <f t="shared" si="48"/>
        <v>Completed</v>
      </c>
    </row>
    <row r="770" spans="1:22" x14ac:dyDescent="0.3">
      <c r="A770" s="2">
        <v>769</v>
      </c>
      <c r="B770" s="1">
        <v>46426</v>
      </c>
      <c r="C770" s="2" t="s">
        <v>5</v>
      </c>
      <c r="D770">
        <v>4642</v>
      </c>
      <c r="E770">
        <v>1743</v>
      </c>
      <c r="F770">
        <v>3866</v>
      </c>
      <c r="G770">
        <v>2945</v>
      </c>
      <c r="H770">
        <v>2055</v>
      </c>
      <c r="I770">
        <v>0.33285252599999998</v>
      </c>
      <c r="J770">
        <v>2.8841831500000001</v>
      </c>
      <c r="K770">
        <v>2921</v>
      </c>
      <c r="L770">
        <v>144</v>
      </c>
      <c r="M770" s="2">
        <v>1</v>
      </c>
      <c r="N770">
        <v>1.8388881269999999</v>
      </c>
      <c r="O770">
        <v>0.87025519500000004</v>
      </c>
      <c r="P770" t="b">
        <v>0</v>
      </c>
      <c r="Q770">
        <v>0.92722812799999998</v>
      </c>
      <c r="R770" s="2">
        <v>1</v>
      </c>
      <c r="S770" s="2" t="str">
        <f t="shared" ref="S770:S833" si="49">TEXT(B770,"MMM")</f>
        <v>Feb</v>
      </c>
      <c r="T770">
        <f t="shared" ref="T770:T833" si="50">YEAR(B770)</f>
        <v>2027</v>
      </c>
      <c r="U770" s="2" t="str">
        <f t="shared" si="47"/>
        <v>Q1</v>
      </c>
      <c r="V770" t="str">
        <f t="shared" si="48"/>
        <v>Completed</v>
      </c>
    </row>
    <row r="771" spans="1:22" x14ac:dyDescent="0.3">
      <c r="A771" s="2">
        <v>770</v>
      </c>
      <c r="B771" s="1">
        <v>46427</v>
      </c>
      <c r="C771" s="2" t="s">
        <v>5</v>
      </c>
      <c r="D771">
        <v>697</v>
      </c>
      <c r="E771">
        <v>3395</v>
      </c>
      <c r="F771">
        <v>965</v>
      </c>
      <c r="G771">
        <v>1244</v>
      </c>
      <c r="H771">
        <v>301</v>
      </c>
      <c r="I771">
        <v>0.48208037500000001</v>
      </c>
      <c r="J771">
        <v>1.296276983</v>
      </c>
      <c r="K771">
        <v>484</v>
      </c>
      <c r="L771">
        <v>565</v>
      </c>
      <c r="M771" s="2">
        <v>7</v>
      </c>
      <c r="N771">
        <v>1.7264178569999999</v>
      </c>
      <c r="O771">
        <v>0.81992421199999999</v>
      </c>
      <c r="P771" t="b">
        <v>0</v>
      </c>
      <c r="Q771">
        <v>0.12080948499999999</v>
      </c>
      <c r="R771" s="2">
        <v>1</v>
      </c>
      <c r="S771" s="2" t="str">
        <f t="shared" si="49"/>
        <v>Feb</v>
      </c>
      <c r="T771">
        <f t="shared" si="50"/>
        <v>2027</v>
      </c>
      <c r="U771" s="2" t="str">
        <f t="shared" ref="U771:U834" si="51">"Q"&amp;ROUNDUP(MONTH(B771)/3,0)</f>
        <v>Q1</v>
      </c>
      <c r="V771" t="str">
        <f t="shared" si="48"/>
        <v>Completed</v>
      </c>
    </row>
    <row r="772" spans="1:22" x14ac:dyDescent="0.3">
      <c r="A772" s="2">
        <v>771</v>
      </c>
      <c r="B772" s="1">
        <v>46428</v>
      </c>
      <c r="C772" s="2" t="s">
        <v>16</v>
      </c>
      <c r="D772">
        <v>4933</v>
      </c>
      <c r="E772">
        <v>593</v>
      </c>
      <c r="F772">
        <v>1380</v>
      </c>
      <c r="G772">
        <v>4357</v>
      </c>
      <c r="H772">
        <v>715</v>
      </c>
      <c r="I772">
        <v>0.27614582599999998</v>
      </c>
      <c r="J772">
        <v>1.758932237</v>
      </c>
      <c r="K772">
        <v>631</v>
      </c>
      <c r="L772">
        <v>2835</v>
      </c>
      <c r="M772" s="2">
        <v>2</v>
      </c>
      <c r="N772">
        <v>1.2342341530000001</v>
      </c>
      <c r="O772">
        <v>0.88102610000000003</v>
      </c>
      <c r="P772" t="b">
        <v>0</v>
      </c>
      <c r="Q772">
        <v>0.98671300100000003</v>
      </c>
      <c r="R772" s="2">
        <v>1</v>
      </c>
      <c r="S772" s="2" t="str">
        <f t="shared" si="49"/>
        <v>Feb</v>
      </c>
      <c r="T772">
        <f t="shared" si="50"/>
        <v>2027</v>
      </c>
      <c r="U772" s="2" t="str">
        <f t="shared" si="51"/>
        <v>Q1</v>
      </c>
      <c r="V772" t="str">
        <f t="shared" ref="V772:V835" si="52">IF(R771=1,"Completed","Failed")</f>
        <v>Completed</v>
      </c>
    </row>
    <row r="773" spans="1:22" x14ac:dyDescent="0.3">
      <c r="A773" s="2">
        <v>772</v>
      </c>
      <c r="B773" s="1">
        <v>46429</v>
      </c>
      <c r="C773" s="2" t="s">
        <v>5</v>
      </c>
      <c r="D773">
        <v>3209</v>
      </c>
      <c r="E773">
        <v>2840</v>
      </c>
      <c r="F773">
        <v>2834</v>
      </c>
      <c r="G773">
        <v>3486</v>
      </c>
      <c r="H773">
        <v>519</v>
      </c>
      <c r="I773">
        <v>0.414244942</v>
      </c>
      <c r="J773">
        <v>0.58529442200000004</v>
      </c>
      <c r="K773">
        <v>3423</v>
      </c>
      <c r="L773">
        <v>3350</v>
      </c>
      <c r="M773" s="2">
        <v>1</v>
      </c>
      <c r="N773">
        <v>0.66949128499999999</v>
      </c>
      <c r="O773">
        <v>0.99441391700000004</v>
      </c>
      <c r="P773" t="b">
        <v>0</v>
      </c>
      <c r="Q773">
        <v>0.63430089899999997</v>
      </c>
      <c r="R773" s="2">
        <v>1</v>
      </c>
      <c r="S773" s="2" t="str">
        <f t="shared" si="49"/>
        <v>Feb</v>
      </c>
      <c r="T773">
        <f t="shared" si="50"/>
        <v>2027</v>
      </c>
      <c r="U773" s="2" t="str">
        <f t="shared" si="51"/>
        <v>Q1</v>
      </c>
      <c r="V773" t="str">
        <f t="shared" si="52"/>
        <v>Completed</v>
      </c>
    </row>
    <row r="774" spans="1:22" x14ac:dyDescent="0.3">
      <c r="A774" s="2">
        <v>773</v>
      </c>
      <c r="B774" s="1">
        <v>46430</v>
      </c>
      <c r="C774" s="2" t="s">
        <v>18</v>
      </c>
      <c r="D774">
        <v>2960</v>
      </c>
      <c r="E774">
        <v>4290</v>
      </c>
      <c r="F774">
        <v>1464</v>
      </c>
      <c r="G774">
        <v>3549</v>
      </c>
      <c r="H774">
        <v>2533</v>
      </c>
      <c r="I774">
        <v>0.34392831099999999</v>
      </c>
      <c r="J774">
        <v>1.552105903</v>
      </c>
      <c r="K774">
        <v>4294</v>
      </c>
      <c r="L774">
        <v>1962</v>
      </c>
      <c r="M774" s="2">
        <v>4</v>
      </c>
      <c r="N774">
        <v>0.53577826699999997</v>
      </c>
      <c r="O774">
        <v>0.87483493099999998</v>
      </c>
      <c r="P774" t="b">
        <v>0</v>
      </c>
      <c r="Q774">
        <v>0.58340147200000003</v>
      </c>
      <c r="R774" s="2">
        <v>1</v>
      </c>
      <c r="S774" s="2" t="str">
        <f t="shared" si="49"/>
        <v>Feb</v>
      </c>
      <c r="T774">
        <f t="shared" si="50"/>
        <v>2027</v>
      </c>
      <c r="U774" s="2" t="str">
        <f t="shared" si="51"/>
        <v>Q1</v>
      </c>
      <c r="V774" t="str">
        <f t="shared" si="52"/>
        <v>Completed</v>
      </c>
    </row>
    <row r="775" spans="1:22" x14ac:dyDescent="0.3">
      <c r="A775" s="2">
        <v>774</v>
      </c>
      <c r="B775" s="1">
        <v>46431</v>
      </c>
      <c r="C775" s="2" t="s">
        <v>18</v>
      </c>
      <c r="D775">
        <v>314</v>
      </c>
      <c r="E775">
        <v>3617</v>
      </c>
      <c r="F775">
        <v>2708</v>
      </c>
      <c r="G775">
        <v>3536</v>
      </c>
      <c r="H775">
        <v>1248</v>
      </c>
      <c r="I775">
        <v>0.41146123000000001</v>
      </c>
      <c r="J775">
        <v>1.400204894</v>
      </c>
      <c r="K775">
        <v>3946</v>
      </c>
      <c r="L775">
        <v>3012</v>
      </c>
      <c r="M775" s="2">
        <v>9</v>
      </c>
      <c r="N775">
        <v>1.6022315229999999</v>
      </c>
      <c r="O775">
        <v>0.97033115000000003</v>
      </c>
      <c r="P775" t="b">
        <v>0</v>
      </c>
      <c r="Q775">
        <v>4.2518396999999999E-2</v>
      </c>
      <c r="R775" s="2">
        <v>1</v>
      </c>
      <c r="S775" s="2" t="str">
        <f t="shared" si="49"/>
        <v>Feb</v>
      </c>
      <c r="T775">
        <f t="shared" si="50"/>
        <v>2027</v>
      </c>
      <c r="U775" s="2" t="str">
        <f t="shared" si="51"/>
        <v>Q1</v>
      </c>
      <c r="V775" t="str">
        <f t="shared" si="52"/>
        <v>Completed</v>
      </c>
    </row>
    <row r="776" spans="1:22" x14ac:dyDescent="0.3">
      <c r="A776" s="2">
        <v>775</v>
      </c>
      <c r="B776" s="1">
        <v>46432</v>
      </c>
      <c r="C776" s="2" t="s">
        <v>18</v>
      </c>
      <c r="D776">
        <v>1870</v>
      </c>
      <c r="E776">
        <v>2819</v>
      </c>
      <c r="F776">
        <v>1816</v>
      </c>
      <c r="G776">
        <v>2856</v>
      </c>
      <c r="H776">
        <v>2723</v>
      </c>
      <c r="I776">
        <v>0.36514320700000003</v>
      </c>
      <c r="J776">
        <v>1.177717339</v>
      </c>
      <c r="K776">
        <v>2600</v>
      </c>
      <c r="L776">
        <v>3516</v>
      </c>
      <c r="M776" s="2">
        <v>3</v>
      </c>
      <c r="N776">
        <v>1.515374454</v>
      </c>
      <c r="O776">
        <v>0.86013304499999998</v>
      </c>
      <c r="P776" t="b">
        <v>0</v>
      </c>
      <c r="Q776">
        <v>0.36058871599999998</v>
      </c>
      <c r="R776" s="2">
        <v>1</v>
      </c>
      <c r="S776" s="2" t="str">
        <f t="shared" si="49"/>
        <v>Feb</v>
      </c>
      <c r="T776">
        <f t="shared" si="50"/>
        <v>2027</v>
      </c>
      <c r="U776" s="2" t="str">
        <f t="shared" si="51"/>
        <v>Q1</v>
      </c>
      <c r="V776" t="str">
        <f t="shared" si="52"/>
        <v>Completed</v>
      </c>
    </row>
    <row r="777" spans="1:22" x14ac:dyDescent="0.3">
      <c r="A777" s="2">
        <v>776</v>
      </c>
      <c r="B777" s="1">
        <v>46433</v>
      </c>
      <c r="C777" s="2" t="s">
        <v>18</v>
      </c>
      <c r="D777">
        <v>611</v>
      </c>
      <c r="E777">
        <v>2872</v>
      </c>
      <c r="F777">
        <v>366</v>
      </c>
      <c r="G777">
        <v>2874</v>
      </c>
      <c r="H777">
        <v>686</v>
      </c>
      <c r="I777">
        <v>0.65148210399999995</v>
      </c>
      <c r="J777">
        <v>1.04788554</v>
      </c>
      <c r="K777">
        <v>299</v>
      </c>
      <c r="L777">
        <v>792</v>
      </c>
      <c r="M777" s="2">
        <v>2</v>
      </c>
      <c r="N777">
        <v>1.2129947000000001</v>
      </c>
      <c r="O777">
        <v>0.92616699599999996</v>
      </c>
      <c r="P777" t="b">
        <v>0</v>
      </c>
      <c r="Q777">
        <v>0.103229763</v>
      </c>
      <c r="R777" s="2">
        <v>1</v>
      </c>
      <c r="S777" s="2" t="str">
        <f t="shared" si="49"/>
        <v>Feb</v>
      </c>
      <c r="T777">
        <f t="shared" si="50"/>
        <v>2027</v>
      </c>
      <c r="U777" s="2" t="str">
        <f t="shared" si="51"/>
        <v>Q1</v>
      </c>
      <c r="V777" t="str">
        <f t="shared" si="52"/>
        <v>Completed</v>
      </c>
    </row>
    <row r="778" spans="1:22" x14ac:dyDescent="0.3">
      <c r="A778" s="2">
        <v>777</v>
      </c>
      <c r="B778" s="1">
        <v>46434</v>
      </c>
      <c r="C778" s="2" t="s">
        <v>18</v>
      </c>
      <c r="D778">
        <v>440</v>
      </c>
      <c r="E778">
        <v>3533</v>
      </c>
      <c r="F778">
        <v>488</v>
      </c>
      <c r="G778">
        <v>1292</v>
      </c>
      <c r="H778">
        <v>3923</v>
      </c>
      <c r="I778">
        <v>0.43450068600000002</v>
      </c>
      <c r="J778">
        <v>1.7424928930000001</v>
      </c>
      <c r="K778">
        <v>4200</v>
      </c>
      <c r="L778">
        <v>1444</v>
      </c>
      <c r="M778" s="2">
        <v>6</v>
      </c>
      <c r="N778">
        <v>1.4296042849999999</v>
      </c>
      <c r="O778">
        <v>0.88392530800000002</v>
      </c>
      <c r="P778" t="b">
        <v>0</v>
      </c>
      <c r="Q778">
        <v>6.8274734000000004E-2</v>
      </c>
      <c r="R778" s="2">
        <v>1</v>
      </c>
      <c r="S778" s="2" t="str">
        <f t="shared" si="49"/>
        <v>Feb</v>
      </c>
      <c r="T778">
        <f t="shared" si="50"/>
        <v>2027</v>
      </c>
      <c r="U778" s="2" t="str">
        <f t="shared" si="51"/>
        <v>Q1</v>
      </c>
      <c r="V778" t="str">
        <f t="shared" si="52"/>
        <v>Completed</v>
      </c>
    </row>
    <row r="779" spans="1:22" x14ac:dyDescent="0.3">
      <c r="A779" s="2">
        <v>778</v>
      </c>
      <c r="B779" s="1">
        <v>46435</v>
      </c>
      <c r="C779" s="2" t="s">
        <v>17</v>
      </c>
      <c r="D779">
        <v>2189</v>
      </c>
      <c r="E779">
        <v>1022</v>
      </c>
      <c r="F779">
        <v>3966</v>
      </c>
      <c r="G779">
        <v>3309</v>
      </c>
      <c r="H779">
        <v>667</v>
      </c>
      <c r="I779">
        <v>0.59161221399999997</v>
      </c>
      <c r="J779">
        <v>2.4453780759999999</v>
      </c>
      <c r="K779">
        <v>4952</v>
      </c>
      <c r="L779">
        <v>204</v>
      </c>
      <c r="M779" s="2">
        <v>9</v>
      </c>
      <c r="N779">
        <v>0.63217543099999995</v>
      </c>
      <c r="O779">
        <v>0.87926794799999997</v>
      </c>
      <c r="P779" t="b">
        <v>0</v>
      </c>
      <c r="Q779">
        <v>0.42579721999999998</v>
      </c>
      <c r="R779" s="2">
        <v>1</v>
      </c>
      <c r="S779" s="2" t="str">
        <f t="shared" si="49"/>
        <v>Feb</v>
      </c>
      <c r="T779">
        <f t="shared" si="50"/>
        <v>2027</v>
      </c>
      <c r="U779" s="2" t="str">
        <f t="shared" si="51"/>
        <v>Q1</v>
      </c>
      <c r="V779" t="str">
        <f t="shared" si="52"/>
        <v>Completed</v>
      </c>
    </row>
    <row r="780" spans="1:22" x14ac:dyDescent="0.3">
      <c r="A780" s="2">
        <v>779</v>
      </c>
      <c r="B780" s="1">
        <v>46436</v>
      </c>
      <c r="C780" s="2" t="s">
        <v>16</v>
      </c>
      <c r="D780">
        <v>2200</v>
      </c>
      <c r="E780">
        <v>2718</v>
      </c>
      <c r="F780">
        <v>3022</v>
      </c>
      <c r="G780">
        <v>615</v>
      </c>
      <c r="H780">
        <v>2057</v>
      </c>
      <c r="I780">
        <v>0.29505309600000001</v>
      </c>
      <c r="J780">
        <v>0.85143195999999999</v>
      </c>
      <c r="K780">
        <v>1769</v>
      </c>
      <c r="L780">
        <v>515</v>
      </c>
      <c r="M780" s="2">
        <v>6</v>
      </c>
      <c r="N780">
        <v>0.75295368600000001</v>
      </c>
      <c r="O780">
        <v>0.81411557300000004</v>
      </c>
      <c r="P780" t="b">
        <v>0</v>
      </c>
      <c r="Q780">
        <v>0.42804578900000001</v>
      </c>
      <c r="R780" s="2">
        <v>1</v>
      </c>
      <c r="S780" s="2" t="str">
        <f t="shared" si="49"/>
        <v>Feb</v>
      </c>
      <c r="T780">
        <f t="shared" si="50"/>
        <v>2027</v>
      </c>
      <c r="U780" s="2" t="str">
        <f t="shared" si="51"/>
        <v>Q1</v>
      </c>
      <c r="V780" t="str">
        <f t="shared" si="52"/>
        <v>Completed</v>
      </c>
    </row>
    <row r="781" spans="1:22" x14ac:dyDescent="0.3">
      <c r="A781" s="2">
        <v>780</v>
      </c>
      <c r="B781" s="1">
        <v>46437</v>
      </c>
      <c r="C781" s="2" t="s">
        <v>5</v>
      </c>
      <c r="D781">
        <v>2605</v>
      </c>
      <c r="E781">
        <v>1569</v>
      </c>
      <c r="F781">
        <v>3318</v>
      </c>
      <c r="G781">
        <v>2053</v>
      </c>
      <c r="H781">
        <v>2959</v>
      </c>
      <c r="I781">
        <v>0.44120480099999998</v>
      </c>
      <c r="J781">
        <v>1.1584798329999999</v>
      </c>
      <c r="K781">
        <v>2396</v>
      </c>
      <c r="L781">
        <v>2051</v>
      </c>
      <c r="M781" s="2">
        <v>6</v>
      </c>
      <c r="N781">
        <v>1.079542577</v>
      </c>
      <c r="O781">
        <v>0.83431097300000001</v>
      </c>
      <c r="P781" t="b">
        <v>0</v>
      </c>
      <c r="Q781">
        <v>0.51083401500000003</v>
      </c>
      <c r="R781" s="2">
        <v>1</v>
      </c>
      <c r="S781" s="2" t="str">
        <f t="shared" si="49"/>
        <v>Feb</v>
      </c>
      <c r="T781">
        <f t="shared" si="50"/>
        <v>2027</v>
      </c>
      <c r="U781" s="2" t="str">
        <f t="shared" si="51"/>
        <v>Q1</v>
      </c>
      <c r="V781" t="str">
        <f t="shared" si="52"/>
        <v>Completed</v>
      </c>
    </row>
    <row r="782" spans="1:22" x14ac:dyDescent="0.3">
      <c r="A782" s="2">
        <v>781</v>
      </c>
      <c r="B782" s="1">
        <v>46438</v>
      </c>
      <c r="C782" s="2" t="s">
        <v>5</v>
      </c>
      <c r="D782">
        <v>444</v>
      </c>
      <c r="E782">
        <v>2630</v>
      </c>
      <c r="F782">
        <v>2588</v>
      </c>
      <c r="G782">
        <v>2392</v>
      </c>
      <c r="H782">
        <v>1343</v>
      </c>
      <c r="I782">
        <v>0.42689095500000002</v>
      </c>
      <c r="J782">
        <v>2.4849830580000001</v>
      </c>
      <c r="K782">
        <v>3803</v>
      </c>
      <c r="L782">
        <v>2368</v>
      </c>
      <c r="M782" s="2">
        <v>4</v>
      </c>
      <c r="N782">
        <v>0.87061863399999995</v>
      </c>
      <c r="O782">
        <v>0.997256331</v>
      </c>
      <c r="P782" t="b">
        <v>0</v>
      </c>
      <c r="Q782">
        <v>6.9092396E-2</v>
      </c>
      <c r="R782" s="2">
        <v>0</v>
      </c>
      <c r="S782" s="2" t="str">
        <f t="shared" si="49"/>
        <v>Feb</v>
      </c>
      <c r="T782">
        <f t="shared" si="50"/>
        <v>2027</v>
      </c>
      <c r="U782" s="2" t="str">
        <f t="shared" si="51"/>
        <v>Q1</v>
      </c>
      <c r="V782" t="str">
        <f t="shared" si="52"/>
        <v>Completed</v>
      </c>
    </row>
    <row r="783" spans="1:22" x14ac:dyDescent="0.3">
      <c r="A783" s="2">
        <v>782</v>
      </c>
      <c r="B783" s="1">
        <v>46439</v>
      </c>
      <c r="C783" s="2" t="s">
        <v>16</v>
      </c>
      <c r="D783">
        <v>4500</v>
      </c>
      <c r="E783">
        <v>523</v>
      </c>
      <c r="F783">
        <v>987</v>
      </c>
      <c r="G783">
        <v>3818</v>
      </c>
      <c r="H783">
        <v>1156</v>
      </c>
      <c r="I783">
        <v>0.45512214499999998</v>
      </c>
      <c r="J783">
        <v>1.7249991600000001</v>
      </c>
      <c r="K783">
        <v>1656</v>
      </c>
      <c r="L783">
        <v>1687</v>
      </c>
      <c r="M783" s="2">
        <v>2</v>
      </c>
      <c r="N783">
        <v>0.908158154</v>
      </c>
      <c r="O783">
        <v>0.99726901800000001</v>
      </c>
      <c r="P783" t="b">
        <v>1</v>
      </c>
      <c r="Q783">
        <v>0.89820114500000003</v>
      </c>
      <c r="R783" s="2">
        <v>1</v>
      </c>
      <c r="S783" s="2" t="str">
        <f t="shared" si="49"/>
        <v>Feb</v>
      </c>
      <c r="T783">
        <f t="shared" si="50"/>
        <v>2027</v>
      </c>
      <c r="U783" s="2" t="str">
        <f t="shared" si="51"/>
        <v>Q1</v>
      </c>
      <c r="V783" t="str">
        <f t="shared" si="52"/>
        <v>Failed</v>
      </c>
    </row>
    <row r="784" spans="1:22" x14ac:dyDescent="0.3">
      <c r="A784" s="2">
        <v>783</v>
      </c>
      <c r="B784" s="1">
        <v>46440</v>
      </c>
      <c r="C784" s="2" t="s">
        <v>18</v>
      </c>
      <c r="D784">
        <v>4954</v>
      </c>
      <c r="E784">
        <v>2483</v>
      </c>
      <c r="F784">
        <v>2620</v>
      </c>
      <c r="G784">
        <v>2154</v>
      </c>
      <c r="H784">
        <v>3707</v>
      </c>
      <c r="I784">
        <v>0.38297145900000001</v>
      </c>
      <c r="J784">
        <v>1.486109192</v>
      </c>
      <c r="K784">
        <v>3730</v>
      </c>
      <c r="L784">
        <v>1960</v>
      </c>
      <c r="M784" s="2">
        <v>7</v>
      </c>
      <c r="N784">
        <v>1.726807998</v>
      </c>
      <c r="O784">
        <v>0.82802126899999995</v>
      </c>
      <c r="P784" t="b">
        <v>0</v>
      </c>
      <c r="Q784">
        <v>0.99100572399999998</v>
      </c>
      <c r="R784" s="2">
        <v>1</v>
      </c>
      <c r="S784" s="2" t="str">
        <f t="shared" si="49"/>
        <v>Feb</v>
      </c>
      <c r="T784">
        <f t="shared" si="50"/>
        <v>2027</v>
      </c>
      <c r="U784" s="2" t="str">
        <f t="shared" si="51"/>
        <v>Q1</v>
      </c>
      <c r="V784" t="str">
        <f t="shared" si="52"/>
        <v>Completed</v>
      </c>
    </row>
    <row r="785" spans="1:22" x14ac:dyDescent="0.3">
      <c r="A785" s="2">
        <v>784</v>
      </c>
      <c r="B785" s="1">
        <v>46441</v>
      </c>
      <c r="C785" s="2" t="s">
        <v>17</v>
      </c>
      <c r="D785">
        <v>984</v>
      </c>
      <c r="E785">
        <v>4339</v>
      </c>
      <c r="F785">
        <v>3170</v>
      </c>
      <c r="G785">
        <v>3700</v>
      </c>
      <c r="H785">
        <v>3929</v>
      </c>
      <c r="I785">
        <v>0.70299709600000004</v>
      </c>
      <c r="J785">
        <v>2.899026155</v>
      </c>
      <c r="K785">
        <v>1377</v>
      </c>
      <c r="L785">
        <v>3985</v>
      </c>
      <c r="M785" s="2">
        <v>8</v>
      </c>
      <c r="N785">
        <v>1.203275066</v>
      </c>
      <c r="O785">
        <v>0.80055369700000001</v>
      </c>
      <c r="P785" t="b">
        <v>0</v>
      </c>
      <c r="Q785">
        <v>0.17947669699999999</v>
      </c>
      <c r="R785" s="2">
        <v>1</v>
      </c>
      <c r="S785" s="2" t="str">
        <f t="shared" si="49"/>
        <v>Feb</v>
      </c>
      <c r="T785">
        <f t="shared" si="50"/>
        <v>2027</v>
      </c>
      <c r="U785" s="2" t="str">
        <f t="shared" si="51"/>
        <v>Q1</v>
      </c>
      <c r="V785" t="str">
        <f t="shared" si="52"/>
        <v>Completed</v>
      </c>
    </row>
    <row r="786" spans="1:22" x14ac:dyDescent="0.3">
      <c r="A786" s="2">
        <v>785</v>
      </c>
      <c r="B786" s="1">
        <v>46442</v>
      </c>
      <c r="C786" s="2" t="s">
        <v>18</v>
      </c>
      <c r="D786">
        <v>2295</v>
      </c>
      <c r="E786">
        <v>4128</v>
      </c>
      <c r="F786">
        <v>3417</v>
      </c>
      <c r="G786">
        <v>1547</v>
      </c>
      <c r="H786">
        <v>878</v>
      </c>
      <c r="I786">
        <v>0.58545373099999998</v>
      </c>
      <c r="J786">
        <v>1.6134173270000001</v>
      </c>
      <c r="K786">
        <v>1385</v>
      </c>
      <c r="L786">
        <v>3804</v>
      </c>
      <c r="M786" s="2">
        <v>5</v>
      </c>
      <c r="N786">
        <v>1.9575144149999999</v>
      </c>
      <c r="O786">
        <v>0.85893230899999995</v>
      </c>
      <c r="P786" t="b">
        <v>0</v>
      </c>
      <c r="Q786">
        <v>0.44746524900000001</v>
      </c>
      <c r="R786" s="2">
        <v>1</v>
      </c>
      <c r="S786" s="2" t="str">
        <f t="shared" si="49"/>
        <v>Feb</v>
      </c>
      <c r="T786">
        <f t="shared" si="50"/>
        <v>2027</v>
      </c>
      <c r="U786" s="2" t="str">
        <f t="shared" si="51"/>
        <v>Q1</v>
      </c>
      <c r="V786" t="str">
        <f t="shared" si="52"/>
        <v>Completed</v>
      </c>
    </row>
    <row r="787" spans="1:22" x14ac:dyDescent="0.3">
      <c r="A787" s="2">
        <v>786</v>
      </c>
      <c r="B787" s="1">
        <v>46443</v>
      </c>
      <c r="C787" s="2" t="s">
        <v>5</v>
      </c>
      <c r="D787">
        <v>2542</v>
      </c>
      <c r="E787">
        <v>2886</v>
      </c>
      <c r="F787">
        <v>2544</v>
      </c>
      <c r="G787">
        <v>1977</v>
      </c>
      <c r="H787">
        <v>417</v>
      </c>
      <c r="I787">
        <v>0.47094260599999999</v>
      </c>
      <c r="J787">
        <v>1.7759024910000001</v>
      </c>
      <c r="K787">
        <v>4312</v>
      </c>
      <c r="L787">
        <v>726</v>
      </c>
      <c r="M787" s="2">
        <v>3</v>
      </c>
      <c r="N787">
        <v>1.9546453720000001</v>
      </c>
      <c r="O787">
        <v>0.91301464099999996</v>
      </c>
      <c r="P787" t="b">
        <v>0</v>
      </c>
      <c r="Q787">
        <v>0.49795584599999998</v>
      </c>
      <c r="R787" s="2">
        <v>1</v>
      </c>
      <c r="S787" s="2" t="str">
        <f t="shared" si="49"/>
        <v>Feb</v>
      </c>
      <c r="T787">
        <f t="shared" si="50"/>
        <v>2027</v>
      </c>
      <c r="U787" s="2" t="str">
        <f t="shared" si="51"/>
        <v>Q1</v>
      </c>
      <c r="V787" t="str">
        <f t="shared" si="52"/>
        <v>Completed</v>
      </c>
    </row>
    <row r="788" spans="1:22" x14ac:dyDescent="0.3">
      <c r="A788" s="2">
        <v>787</v>
      </c>
      <c r="B788" s="1">
        <v>46444</v>
      </c>
      <c r="C788" s="2" t="s">
        <v>5</v>
      </c>
      <c r="D788">
        <v>1827</v>
      </c>
      <c r="E788">
        <v>2651</v>
      </c>
      <c r="F788">
        <v>2885</v>
      </c>
      <c r="G788">
        <v>3675</v>
      </c>
      <c r="H788">
        <v>456</v>
      </c>
      <c r="I788">
        <v>0.45280895399999999</v>
      </c>
      <c r="J788">
        <v>2.468120211</v>
      </c>
      <c r="K788">
        <v>1611</v>
      </c>
      <c r="L788">
        <v>1369</v>
      </c>
      <c r="M788" s="2">
        <v>8</v>
      </c>
      <c r="N788">
        <v>1.948404574</v>
      </c>
      <c r="O788">
        <v>0.88697537800000004</v>
      </c>
      <c r="P788" t="b">
        <v>0</v>
      </c>
      <c r="Q788">
        <v>0.35179885500000002</v>
      </c>
      <c r="R788" s="2">
        <v>1</v>
      </c>
      <c r="S788" s="2" t="str">
        <f t="shared" si="49"/>
        <v>Feb</v>
      </c>
      <c r="T788">
        <f t="shared" si="50"/>
        <v>2027</v>
      </c>
      <c r="U788" s="2" t="str">
        <f t="shared" si="51"/>
        <v>Q1</v>
      </c>
      <c r="V788" t="str">
        <f t="shared" si="52"/>
        <v>Completed</v>
      </c>
    </row>
    <row r="789" spans="1:22" x14ac:dyDescent="0.3">
      <c r="A789" s="2">
        <v>788</v>
      </c>
      <c r="B789" s="1">
        <v>46445</v>
      </c>
      <c r="C789" s="2" t="s">
        <v>18</v>
      </c>
      <c r="D789">
        <v>1144</v>
      </c>
      <c r="E789">
        <v>4008</v>
      </c>
      <c r="F789">
        <v>3622</v>
      </c>
      <c r="G789">
        <v>4246</v>
      </c>
      <c r="H789">
        <v>2209</v>
      </c>
      <c r="I789">
        <v>0.59455950099999999</v>
      </c>
      <c r="J789">
        <v>0.77879251400000005</v>
      </c>
      <c r="K789">
        <v>2533</v>
      </c>
      <c r="L789">
        <v>1549</v>
      </c>
      <c r="M789" s="2">
        <v>6</v>
      </c>
      <c r="N789">
        <v>0.67105280300000003</v>
      </c>
      <c r="O789">
        <v>0.90957229699999997</v>
      </c>
      <c r="P789" t="b">
        <v>0</v>
      </c>
      <c r="Q789">
        <v>0.21218315600000001</v>
      </c>
      <c r="R789" s="2">
        <v>1</v>
      </c>
      <c r="S789" s="2" t="str">
        <f t="shared" si="49"/>
        <v>Feb</v>
      </c>
      <c r="T789">
        <f t="shared" si="50"/>
        <v>2027</v>
      </c>
      <c r="U789" s="2" t="str">
        <f t="shared" si="51"/>
        <v>Q1</v>
      </c>
      <c r="V789" t="str">
        <f t="shared" si="52"/>
        <v>Completed</v>
      </c>
    </row>
    <row r="790" spans="1:22" x14ac:dyDescent="0.3">
      <c r="A790" s="2">
        <v>789</v>
      </c>
      <c r="B790" s="1">
        <v>46446</v>
      </c>
      <c r="C790" s="2" t="s">
        <v>16</v>
      </c>
      <c r="D790">
        <v>1757</v>
      </c>
      <c r="E790">
        <v>2908</v>
      </c>
      <c r="F790">
        <v>1860</v>
      </c>
      <c r="G790">
        <v>3140</v>
      </c>
      <c r="H790">
        <v>422</v>
      </c>
      <c r="I790">
        <v>0.26583382999999999</v>
      </c>
      <c r="J790">
        <v>0.53326695899999998</v>
      </c>
      <c r="K790">
        <v>613</v>
      </c>
      <c r="L790">
        <v>646</v>
      </c>
      <c r="M790" s="2">
        <v>7</v>
      </c>
      <c r="N790">
        <v>0.97875530899999996</v>
      </c>
      <c r="O790">
        <v>0.91126978599999997</v>
      </c>
      <c r="P790" t="b">
        <v>0</v>
      </c>
      <c r="Q790">
        <v>0.33748977899999999</v>
      </c>
      <c r="R790" s="2">
        <v>1</v>
      </c>
      <c r="S790" s="2" t="str">
        <f t="shared" si="49"/>
        <v>Feb</v>
      </c>
      <c r="T790">
        <f t="shared" si="50"/>
        <v>2027</v>
      </c>
      <c r="U790" s="2" t="str">
        <f t="shared" si="51"/>
        <v>Q1</v>
      </c>
      <c r="V790" t="str">
        <f t="shared" si="52"/>
        <v>Completed</v>
      </c>
    </row>
    <row r="791" spans="1:22" x14ac:dyDescent="0.3">
      <c r="A791" s="2">
        <v>790</v>
      </c>
      <c r="B791" s="1">
        <v>46447</v>
      </c>
      <c r="C791" s="2" t="s">
        <v>16</v>
      </c>
      <c r="D791">
        <v>3850</v>
      </c>
      <c r="E791">
        <v>862</v>
      </c>
      <c r="F791">
        <v>1840</v>
      </c>
      <c r="G791">
        <v>4167</v>
      </c>
      <c r="H791">
        <v>1611</v>
      </c>
      <c r="I791">
        <v>0.31307764900000001</v>
      </c>
      <c r="J791">
        <v>1.2294744440000001</v>
      </c>
      <c r="K791">
        <v>4641</v>
      </c>
      <c r="L791">
        <v>3443</v>
      </c>
      <c r="M791" s="2">
        <v>6</v>
      </c>
      <c r="N791">
        <v>0.85249339400000002</v>
      </c>
      <c r="O791">
        <v>0.86543677200000002</v>
      </c>
      <c r="P791" t="b">
        <v>0</v>
      </c>
      <c r="Q791">
        <v>0.76533115299999999</v>
      </c>
      <c r="R791" s="2">
        <v>1</v>
      </c>
      <c r="S791" s="2" t="str">
        <f t="shared" si="49"/>
        <v>Mar</v>
      </c>
      <c r="T791">
        <f t="shared" si="50"/>
        <v>2027</v>
      </c>
      <c r="U791" s="2" t="str">
        <f t="shared" si="51"/>
        <v>Q1</v>
      </c>
      <c r="V791" t="str">
        <f t="shared" si="52"/>
        <v>Completed</v>
      </c>
    </row>
    <row r="792" spans="1:22" x14ac:dyDescent="0.3">
      <c r="A792" s="2">
        <v>791</v>
      </c>
      <c r="B792" s="1">
        <v>46448</v>
      </c>
      <c r="C792" s="2" t="s">
        <v>18</v>
      </c>
      <c r="D792">
        <v>1714</v>
      </c>
      <c r="E792">
        <v>3102</v>
      </c>
      <c r="F792">
        <v>2941</v>
      </c>
      <c r="G792">
        <v>3452</v>
      </c>
      <c r="H792">
        <v>3363</v>
      </c>
      <c r="I792">
        <v>0.630395339</v>
      </c>
      <c r="J792">
        <v>2.6656818100000002</v>
      </c>
      <c r="K792">
        <v>1713</v>
      </c>
      <c r="L792">
        <v>581</v>
      </c>
      <c r="M792" s="2">
        <v>2</v>
      </c>
      <c r="N792">
        <v>0.89500717699999999</v>
      </c>
      <c r="O792">
        <v>0.946011936</v>
      </c>
      <c r="P792" t="b">
        <v>0</v>
      </c>
      <c r="Q792">
        <v>0.32869991799999998</v>
      </c>
      <c r="R792" s="2">
        <v>1</v>
      </c>
      <c r="S792" s="2" t="str">
        <f t="shared" si="49"/>
        <v>Mar</v>
      </c>
      <c r="T792">
        <f t="shared" si="50"/>
        <v>2027</v>
      </c>
      <c r="U792" s="2" t="str">
        <f t="shared" si="51"/>
        <v>Q1</v>
      </c>
      <c r="V792" t="str">
        <f t="shared" si="52"/>
        <v>Completed</v>
      </c>
    </row>
    <row r="793" spans="1:22" x14ac:dyDescent="0.3">
      <c r="A793" s="2">
        <v>792</v>
      </c>
      <c r="B793" s="1">
        <v>46449</v>
      </c>
      <c r="C793" s="2" t="s">
        <v>17</v>
      </c>
      <c r="D793">
        <v>4929</v>
      </c>
      <c r="E793">
        <v>701</v>
      </c>
      <c r="F793">
        <v>443</v>
      </c>
      <c r="G793">
        <v>689</v>
      </c>
      <c r="H793">
        <v>1218</v>
      </c>
      <c r="I793">
        <v>0.73050262700000002</v>
      </c>
      <c r="J793">
        <v>0.99112051300000004</v>
      </c>
      <c r="K793">
        <v>4448</v>
      </c>
      <c r="L793">
        <v>1547</v>
      </c>
      <c r="M793" s="2">
        <v>6</v>
      </c>
      <c r="N793">
        <v>1.4507953760000001</v>
      </c>
      <c r="O793">
        <v>0.890145136</v>
      </c>
      <c r="P793" t="b">
        <v>0</v>
      </c>
      <c r="Q793">
        <v>0.98589533900000004</v>
      </c>
      <c r="R793" s="2">
        <v>1</v>
      </c>
      <c r="S793" s="2" t="str">
        <f t="shared" si="49"/>
        <v>Mar</v>
      </c>
      <c r="T793">
        <f t="shared" si="50"/>
        <v>2027</v>
      </c>
      <c r="U793" s="2" t="str">
        <f t="shared" si="51"/>
        <v>Q1</v>
      </c>
      <c r="V793" t="str">
        <f t="shared" si="52"/>
        <v>Completed</v>
      </c>
    </row>
    <row r="794" spans="1:22" x14ac:dyDescent="0.3">
      <c r="A794" s="2">
        <v>793</v>
      </c>
      <c r="B794" s="1">
        <v>46450</v>
      </c>
      <c r="C794" s="2" t="s">
        <v>17</v>
      </c>
      <c r="D794">
        <v>3784</v>
      </c>
      <c r="E794">
        <v>2827</v>
      </c>
      <c r="F794">
        <v>205</v>
      </c>
      <c r="G794">
        <v>2943</v>
      </c>
      <c r="H794">
        <v>962</v>
      </c>
      <c r="I794">
        <v>0.386884701</v>
      </c>
      <c r="J794">
        <v>2.8426609530000002</v>
      </c>
      <c r="K794">
        <v>3117</v>
      </c>
      <c r="L794">
        <v>1885</v>
      </c>
      <c r="M794" s="2">
        <v>1</v>
      </c>
      <c r="N794">
        <v>0.95388004699999995</v>
      </c>
      <c r="O794">
        <v>0.96649952900000002</v>
      </c>
      <c r="P794" t="b">
        <v>0</v>
      </c>
      <c r="Q794">
        <v>0.75183973800000004</v>
      </c>
      <c r="R794" s="2">
        <v>1</v>
      </c>
      <c r="S794" s="2" t="str">
        <f t="shared" si="49"/>
        <v>Mar</v>
      </c>
      <c r="T794">
        <f t="shared" si="50"/>
        <v>2027</v>
      </c>
      <c r="U794" s="2" t="str">
        <f t="shared" si="51"/>
        <v>Q1</v>
      </c>
      <c r="V794" t="str">
        <f t="shared" si="52"/>
        <v>Completed</v>
      </c>
    </row>
    <row r="795" spans="1:22" x14ac:dyDescent="0.3">
      <c r="A795" s="2">
        <v>794</v>
      </c>
      <c r="B795" s="1">
        <v>46451</v>
      </c>
      <c r="C795" s="2" t="s">
        <v>18</v>
      </c>
      <c r="D795">
        <v>3848</v>
      </c>
      <c r="E795">
        <v>4116</v>
      </c>
      <c r="F795">
        <v>2605</v>
      </c>
      <c r="G795">
        <v>2862</v>
      </c>
      <c r="H795">
        <v>3476</v>
      </c>
      <c r="I795">
        <v>0.65375156999999995</v>
      </c>
      <c r="J795">
        <v>2.1769955419999998</v>
      </c>
      <c r="K795">
        <v>1807</v>
      </c>
      <c r="L795">
        <v>3393</v>
      </c>
      <c r="M795" s="2">
        <v>8</v>
      </c>
      <c r="N795">
        <v>1.7015877580000001</v>
      </c>
      <c r="O795">
        <v>0.89997827200000002</v>
      </c>
      <c r="P795" t="b">
        <v>0</v>
      </c>
      <c r="Q795">
        <v>0.76492232199999999</v>
      </c>
      <c r="R795" s="2">
        <v>1</v>
      </c>
      <c r="S795" s="2" t="str">
        <f t="shared" si="49"/>
        <v>Mar</v>
      </c>
      <c r="T795">
        <f t="shared" si="50"/>
        <v>2027</v>
      </c>
      <c r="U795" s="2" t="str">
        <f t="shared" si="51"/>
        <v>Q1</v>
      </c>
      <c r="V795" t="str">
        <f t="shared" si="52"/>
        <v>Completed</v>
      </c>
    </row>
    <row r="796" spans="1:22" x14ac:dyDescent="0.3">
      <c r="A796" s="2">
        <v>795</v>
      </c>
      <c r="B796" s="1">
        <v>46452</v>
      </c>
      <c r="C796" s="2" t="s">
        <v>16</v>
      </c>
      <c r="D796">
        <v>3101</v>
      </c>
      <c r="E796">
        <v>977</v>
      </c>
      <c r="F796">
        <v>3014</v>
      </c>
      <c r="G796">
        <v>642</v>
      </c>
      <c r="H796">
        <v>2186</v>
      </c>
      <c r="I796">
        <v>0.46064812100000002</v>
      </c>
      <c r="J796">
        <v>2.528874719</v>
      </c>
      <c r="K796">
        <v>501</v>
      </c>
      <c r="L796">
        <v>178</v>
      </c>
      <c r="M796" s="2">
        <v>6</v>
      </c>
      <c r="N796">
        <v>1.7398912440000001</v>
      </c>
      <c r="O796">
        <v>0.90025106600000004</v>
      </c>
      <c r="P796" t="b">
        <v>0</v>
      </c>
      <c r="Q796">
        <v>0.612224039</v>
      </c>
      <c r="R796" s="2">
        <v>1</v>
      </c>
      <c r="S796" s="2" t="str">
        <f t="shared" si="49"/>
        <v>Mar</v>
      </c>
      <c r="T796">
        <f t="shared" si="50"/>
        <v>2027</v>
      </c>
      <c r="U796" s="2" t="str">
        <f t="shared" si="51"/>
        <v>Q1</v>
      </c>
      <c r="V796" t="str">
        <f t="shared" si="52"/>
        <v>Completed</v>
      </c>
    </row>
    <row r="797" spans="1:22" x14ac:dyDescent="0.3">
      <c r="A797" s="2">
        <v>796</v>
      </c>
      <c r="B797" s="1">
        <v>46453</v>
      </c>
      <c r="C797" s="2" t="s">
        <v>18</v>
      </c>
      <c r="D797">
        <v>4416</v>
      </c>
      <c r="E797">
        <v>2848</v>
      </c>
      <c r="F797">
        <v>1579</v>
      </c>
      <c r="G797">
        <v>3439</v>
      </c>
      <c r="H797">
        <v>793</v>
      </c>
      <c r="I797">
        <v>0.55297813299999998</v>
      </c>
      <c r="J797">
        <v>2.0013421450000002</v>
      </c>
      <c r="K797">
        <v>4803</v>
      </c>
      <c r="L797">
        <v>2937</v>
      </c>
      <c r="M797" s="2">
        <v>8</v>
      </c>
      <c r="N797">
        <v>0.70425323500000003</v>
      </c>
      <c r="O797">
        <v>0.86762539500000002</v>
      </c>
      <c r="P797" t="b">
        <v>0</v>
      </c>
      <c r="Q797">
        <v>0.88103025300000004</v>
      </c>
      <c r="R797" s="2">
        <v>1</v>
      </c>
      <c r="S797" s="2" t="str">
        <f t="shared" si="49"/>
        <v>Mar</v>
      </c>
      <c r="T797">
        <f t="shared" si="50"/>
        <v>2027</v>
      </c>
      <c r="U797" s="2" t="str">
        <f t="shared" si="51"/>
        <v>Q1</v>
      </c>
      <c r="V797" t="str">
        <f t="shared" si="52"/>
        <v>Completed</v>
      </c>
    </row>
    <row r="798" spans="1:22" x14ac:dyDescent="0.3">
      <c r="A798" s="2">
        <v>797</v>
      </c>
      <c r="B798" s="1">
        <v>46454</v>
      </c>
      <c r="C798" s="2" t="s">
        <v>17</v>
      </c>
      <c r="D798">
        <v>4918</v>
      </c>
      <c r="E798">
        <v>1639</v>
      </c>
      <c r="F798">
        <v>3493</v>
      </c>
      <c r="G798">
        <v>4428</v>
      </c>
      <c r="H798">
        <v>1191</v>
      </c>
      <c r="I798">
        <v>0.34118754000000001</v>
      </c>
      <c r="J798">
        <v>0.50961786899999995</v>
      </c>
      <c r="K798">
        <v>183</v>
      </c>
      <c r="L798">
        <v>2516</v>
      </c>
      <c r="M798" s="2">
        <v>2</v>
      </c>
      <c r="N798">
        <v>1.401508473</v>
      </c>
      <c r="O798">
        <v>0.99827918000000004</v>
      </c>
      <c r="P798" t="b">
        <v>0</v>
      </c>
      <c r="Q798">
        <v>0.98364677</v>
      </c>
      <c r="R798" s="2">
        <v>1</v>
      </c>
      <c r="S798" s="2" t="str">
        <f t="shared" si="49"/>
        <v>Mar</v>
      </c>
      <c r="T798">
        <f t="shared" si="50"/>
        <v>2027</v>
      </c>
      <c r="U798" s="2" t="str">
        <f t="shared" si="51"/>
        <v>Q1</v>
      </c>
      <c r="V798" t="str">
        <f t="shared" si="52"/>
        <v>Completed</v>
      </c>
    </row>
    <row r="799" spans="1:22" x14ac:dyDescent="0.3">
      <c r="A799" s="2">
        <v>798</v>
      </c>
      <c r="B799" s="1">
        <v>46455</v>
      </c>
      <c r="C799" s="2" t="s">
        <v>5</v>
      </c>
      <c r="D799">
        <v>1668</v>
      </c>
      <c r="E799">
        <v>2758</v>
      </c>
      <c r="F799">
        <v>269</v>
      </c>
      <c r="G799">
        <v>4194</v>
      </c>
      <c r="H799">
        <v>2834</v>
      </c>
      <c r="I799">
        <v>0.79749295399999998</v>
      </c>
      <c r="J799">
        <v>1.3350567769999999</v>
      </c>
      <c r="K799">
        <v>1621</v>
      </c>
      <c r="L799">
        <v>1643</v>
      </c>
      <c r="M799" s="2">
        <v>6</v>
      </c>
      <c r="N799">
        <v>1.673491931</v>
      </c>
      <c r="O799">
        <v>0.88904868800000003</v>
      </c>
      <c r="P799" t="b">
        <v>0</v>
      </c>
      <c r="Q799">
        <v>0.31929681100000001</v>
      </c>
      <c r="R799" s="2">
        <v>1</v>
      </c>
      <c r="S799" s="2" t="str">
        <f t="shared" si="49"/>
        <v>Mar</v>
      </c>
      <c r="T799">
        <f t="shared" si="50"/>
        <v>2027</v>
      </c>
      <c r="U799" s="2" t="str">
        <f t="shared" si="51"/>
        <v>Q1</v>
      </c>
      <c r="V799" t="str">
        <f t="shared" si="52"/>
        <v>Completed</v>
      </c>
    </row>
    <row r="800" spans="1:22" x14ac:dyDescent="0.3">
      <c r="A800" s="2">
        <v>799</v>
      </c>
      <c r="B800" s="1">
        <v>46456</v>
      </c>
      <c r="C800" s="2" t="s">
        <v>18</v>
      </c>
      <c r="D800">
        <v>3659</v>
      </c>
      <c r="E800">
        <v>727</v>
      </c>
      <c r="F800">
        <v>1541</v>
      </c>
      <c r="G800">
        <v>3122</v>
      </c>
      <c r="H800">
        <v>3703</v>
      </c>
      <c r="I800">
        <v>0.22382592200000001</v>
      </c>
      <c r="J800">
        <v>1.344463175</v>
      </c>
      <c r="K800">
        <v>465</v>
      </c>
      <c r="L800">
        <v>2217</v>
      </c>
      <c r="M800" s="2">
        <v>7</v>
      </c>
      <c r="N800">
        <v>1.8639210909999999</v>
      </c>
      <c r="O800">
        <v>0.92255293800000004</v>
      </c>
      <c r="P800" t="b">
        <v>0</v>
      </c>
      <c r="Q800">
        <v>0.726287817</v>
      </c>
      <c r="R800" s="2">
        <v>1</v>
      </c>
      <c r="S800" s="2" t="str">
        <f t="shared" si="49"/>
        <v>Mar</v>
      </c>
      <c r="T800">
        <f t="shared" si="50"/>
        <v>2027</v>
      </c>
      <c r="U800" s="2" t="str">
        <f t="shared" si="51"/>
        <v>Q1</v>
      </c>
      <c r="V800" t="str">
        <f t="shared" si="52"/>
        <v>Completed</v>
      </c>
    </row>
    <row r="801" spans="1:22" x14ac:dyDescent="0.3">
      <c r="A801" s="2">
        <v>800</v>
      </c>
      <c r="B801" s="1">
        <v>46457</v>
      </c>
      <c r="C801" s="2" t="s">
        <v>5</v>
      </c>
      <c r="D801">
        <v>4246</v>
      </c>
      <c r="E801">
        <v>3294</v>
      </c>
      <c r="F801">
        <v>1435</v>
      </c>
      <c r="G801">
        <v>2587</v>
      </c>
      <c r="H801">
        <v>832</v>
      </c>
      <c r="I801">
        <v>0.79842687300000004</v>
      </c>
      <c r="J801">
        <v>1.0722398200000001</v>
      </c>
      <c r="K801">
        <v>1219</v>
      </c>
      <c r="L801">
        <v>1943</v>
      </c>
      <c r="M801" s="2">
        <v>9</v>
      </c>
      <c r="N801">
        <v>1.636961777</v>
      </c>
      <c r="O801">
        <v>0.93850657299999996</v>
      </c>
      <c r="P801" t="b">
        <v>0</v>
      </c>
      <c r="Q801">
        <v>0.84627964</v>
      </c>
      <c r="R801" s="2">
        <v>1</v>
      </c>
      <c r="S801" s="2" t="str">
        <f t="shared" si="49"/>
        <v>Mar</v>
      </c>
      <c r="T801">
        <f t="shared" si="50"/>
        <v>2027</v>
      </c>
      <c r="U801" s="2" t="str">
        <f t="shared" si="51"/>
        <v>Q1</v>
      </c>
      <c r="V801" t="str">
        <f t="shared" si="52"/>
        <v>Completed</v>
      </c>
    </row>
    <row r="802" spans="1:22" x14ac:dyDescent="0.3">
      <c r="A802" s="2">
        <v>801</v>
      </c>
      <c r="B802" s="1">
        <v>46458</v>
      </c>
      <c r="C802" s="2" t="s">
        <v>17</v>
      </c>
      <c r="D802">
        <v>199</v>
      </c>
      <c r="E802">
        <v>3081</v>
      </c>
      <c r="F802">
        <v>3130</v>
      </c>
      <c r="G802">
        <v>3506</v>
      </c>
      <c r="H802">
        <v>3887</v>
      </c>
      <c r="I802">
        <v>0.78641611499999997</v>
      </c>
      <c r="J802">
        <v>2.308451287</v>
      </c>
      <c r="K802">
        <v>2823</v>
      </c>
      <c r="L802">
        <v>954</v>
      </c>
      <c r="M802" s="2">
        <v>8</v>
      </c>
      <c r="N802">
        <v>1.2482983860000001</v>
      </c>
      <c r="O802">
        <v>0.94499845699999996</v>
      </c>
      <c r="P802" t="b">
        <v>0</v>
      </c>
      <c r="Q802">
        <v>1.9010630000000001E-2</v>
      </c>
      <c r="R802" s="2">
        <v>1</v>
      </c>
      <c r="S802" s="2" t="str">
        <f t="shared" si="49"/>
        <v>Mar</v>
      </c>
      <c r="T802">
        <f t="shared" si="50"/>
        <v>2027</v>
      </c>
      <c r="U802" s="2" t="str">
        <f t="shared" si="51"/>
        <v>Q1</v>
      </c>
      <c r="V802" t="str">
        <f t="shared" si="52"/>
        <v>Completed</v>
      </c>
    </row>
    <row r="803" spans="1:22" x14ac:dyDescent="0.3">
      <c r="A803" s="2">
        <v>802</v>
      </c>
      <c r="B803" s="1">
        <v>46459</v>
      </c>
      <c r="C803" s="2" t="s">
        <v>17</v>
      </c>
      <c r="D803">
        <v>1515</v>
      </c>
      <c r="E803">
        <v>2787</v>
      </c>
      <c r="F803">
        <v>836</v>
      </c>
      <c r="G803">
        <v>1000</v>
      </c>
      <c r="H803">
        <v>2803</v>
      </c>
      <c r="I803">
        <v>0.64478453199999997</v>
      </c>
      <c r="J803">
        <v>0.90534759399999998</v>
      </c>
      <c r="K803">
        <v>3854</v>
      </c>
      <c r="L803">
        <v>3306</v>
      </c>
      <c r="M803" s="2">
        <v>1</v>
      </c>
      <c r="N803">
        <v>1.3306392890000001</v>
      </c>
      <c r="O803">
        <v>0.898691562</v>
      </c>
      <c r="P803" t="b">
        <v>0</v>
      </c>
      <c r="Q803">
        <v>0.28802125899999997</v>
      </c>
      <c r="R803" s="2">
        <v>1</v>
      </c>
      <c r="S803" s="2" t="str">
        <f t="shared" si="49"/>
        <v>Mar</v>
      </c>
      <c r="T803">
        <f t="shared" si="50"/>
        <v>2027</v>
      </c>
      <c r="U803" s="2" t="str">
        <f t="shared" si="51"/>
        <v>Q1</v>
      </c>
      <c r="V803" t="str">
        <f t="shared" si="52"/>
        <v>Completed</v>
      </c>
    </row>
    <row r="804" spans="1:22" x14ac:dyDescent="0.3">
      <c r="A804" s="2">
        <v>803</v>
      </c>
      <c r="B804" s="1">
        <v>46460</v>
      </c>
      <c r="C804" s="2" t="s">
        <v>17</v>
      </c>
      <c r="D804">
        <v>1165</v>
      </c>
      <c r="E804">
        <v>2051</v>
      </c>
      <c r="F804">
        <v>2322</v>
      </c>
      <c r="G804">
        <v>4602</v>
      </c>
      <c r="H804">
        <v>439</v>
      </c>
      <c r="I804">
        <v>0.52722612999999996</v>
      </c>
      <c r="J804">
        <v>1.970585421</v>
      </c>
      <c r="K804">
        <v>3376</v>
      </c>
      <c r="L804">
        <v>3858</v>
      </c>
      <c r="M804" s="2">
        <v>7</v>
      </c>
      <c r="N804">
        <v>0.88955919699999997</v>
      </c>
      <c r="O804">
        <v>0.89066098199999999</v>
      </c>
      <c r="P804" t="b">
        <v>0</v>
      </c>
      <c r="Q804">
        <v>0.21647587900000001</v>
      </c>
      <c r="R804" s="2">
        <v>1</v>
      </c>
      <c r="S804" s="2" t="str">
        <f t="shared" si="49"/>
        <v>Mar</v>
      </c>
      <c r="T804">
        <f t="shared" si="50"/>
        <v>2027</v>
      </c>
      <c r="U804" s="2" t="str">
        <f t="shared" si="51"/>
        <v>Q1</v>
      </c>
      <c r="V804" t="str">
        <f t="shared" si="52"/>
        <v>Completed</v>
      </c>
    </row>
    <row r="805" spans="1:22" x14ac:dyDescent="0.3">
      <c r="A805" s="2">
        <v>804</v>
      </c>
      <c r="B805" s="1">
        <v>46461</v>
      </c>
      <c r="C805" s="2" t="s">
        <v>5</v>
      </c>
      <c r="D805">
        <v>686</v>
      </c>
      <c r="E805">
        <v>1351</v>
      </c>
      <c r="F805">
        <v>2526</v>
      </c>
      <c r="G805">
        <v>1898</v>
      </c>
      <c r="H805">
        <v>3316</v>
      </c>
      <c r="I805">
        <v>0.37786845000000002</v>
      </c>
      <c r="J805">
        <v>0.655118266</v>
      </c>
      <c r="K805">
        <v>1058</v>
      </c>
      <c r="L805">
        <v>1797</v>
      </c>
      <c r="M805" s="2">
        <v>6</v>
      </c>
      <c r="N805">
        <v>1.6022738759999999</v>
      </c>
      <c r="O805">
        <v>0.89470074899999996</v>
      </c>
      <c r="P805" t="b">
        <v>0</v>
      </c>
      <c r="Q805">
        <v>0.118560916</v>
      </c>
      <c r="R805" s="2">
        <v>1</v>
      </c>
      <c r="S805" s="2" t="str">
        <f t="shared" si="49"/>
        <v>Mar</v>
      </c>
      <c r="T805">
        <f t="shared" si="50"/>
        <v>2027</v>
      </c>
      <c r="U805" s="2" t="str">
        <f t="shared" si="51"/>
        <v>Q1</v>
      </c>
      <c r="V805" t="str">
        <f t="shared" si="52"/>
        <v>Completed</v>
      </c>
    </row>
    <row r="806" spans="1:22" x14ac:dyDescent="0.3">
      <c r="A806" s="2">
        <v>805</v>
      </c>
      <c r="B806" s="1">
        <v>46462</v>
      </c>
      <c r="C806" s="2" t="s">
        <v>5</v>
      </c>
      <c r="D806">
        <v>1686</v>
      </c>
      <c r="E806">
        <v>2974</v>
      </c>
      <c r="F806">
        <v>690</v>
      </c>
      <c r="G806">
        <v>2616</v>
      </c>
      <c r="H806">
        <v>1881</v>
      </c>
      <c r="I806">
        <v>0.33866287900000003</v>
      </c>
      <c r="J806">
        <v>1.584027045</v>
      </c>
      <c r="K806">
        <v>3559</v>
      </c>
      <c r="L806">
        <v>2846</v>
      </c>
      <c r="M806" s="2">
        <v>8</v>
      </c>
      <c r="N806">
        <v>0.91811497099999995</v>
      </c>
      <c r="O806">
        <v>0.98281490400000004</v>
      </c>
      <c r="P806" t="b">
        <v>0</v>
      </c>
      <c r="Q806">
        <v>0.322976288</v>
      </c>
      <c r="R806" s="2">
        <v>1</v>
      </c>
      <c r="S806" s="2" t="str">
        <f t="shared" si="49"/>
        <v>Mar</v>
      </c>
      <c r="T806">
        <f t="shared" si="50"/>
        <v>2027</v>
      </c>
      <c r="U806" s="2" t="str">
        <f t="shared" si="51"/>
        <v>Q1</v>
      </c>
      <c r="V806" t="str">
        <f t="shared" si="52"/>
        <v>Completed</v>
      </c>
    </row>
    <row r="807" spans="1:22" x14ac:dyDescent="0.3">
      <c r="A807" s="2">
        <v>806</v>
      </c>
      <c r="B807" s="1">
        <v>46463</v>
      </c>
      <c r="C807" s="2" t="s">
        <v>16</v>
      </c>
      <c r="D807">
        <v>4583</v>
      </c>
      <c r="E807">
        <v>2685</v>
      </c>
      <c r="F807">
        <v>1394</v>
      </c>
      <c r="G807">
        <v>3742</v>
      </c>
      <c r="H807">
        <v>1802</v>
      </c>
      <c r="I807">
        <v>0.22316393300000001</v>
      </c>
      <c r="J807">
        <v>1.6492846860000001</v>
      </c>
      <c r="K807">
        <v>3837</v>
      </c>
      <c r="L807">
        <v>1335</v>
      </c>
      <c r="M807" s="2">
        <v>4</v>
      </c>
      <c r="N807">
        <v>0.61998826699999998</v>
      </c>
      <c r="O807">
        <v>0.89716296699999998</v>
      </c>
      <c r="P807" t="b">
        <v>0</v>
      </c>
      <c r="Q807">
        <v>0.91516762100000004</v>
      </c>
      <c r="R807" s="2">
        <v>1</v>
      </c>
      <c r="S807" s="2" t="str">
        <f t="shared" si="49"/>
        <v>Mar</v>
      </c>
      <c r="T807">
        <f t="shared" si="50"/>
        <v>2027</v>
      </c>
      <c r="U807" s="2" t="str">
        <f t="shared" si="51"/>
        <v>Q1</v>
      </c>
      <c r="V807" t="str">
        <f t="shared" si="52"/>
        <v>Completed</v>
      </c>
    </row>
    <row r="808" spans="1:22" x14ac:dyDescent="0.3">
      <c r="A808" s="2">
        <v>807</v>
      </c>
      <c r="B808" s="1">
        <v>46464</v>
      </c>
      <c r="C808" s="2" t="s">
        <v>16</v>
      </c>
      <c r="D808">
        <v>3975</v>
      </c>
      <c r="E808">
        <v>3605</v>
      </c>
      <c r="F808">
        <v>3432</v>
      </c>
      <c r="G808">
        <v>2120</v>
      </c>
      <c r="H808">
        <v>439</v>
      </c>
      <c r="I808">
        <v>0.36576225499999998</v>
      </c>
      <c r="J808">
        <v>2.8465503600000002</v>
      </c>
      <c r="K808">
        <v>1211</v>
      </c>
      <c r="L808">
        <v>3050</v>
      </c>
      <c r="M808" s="2">
        <v>2</v>
      </c>
      <c r="N808">
        <v>1.4039180280000001</v>
      </c>
      <c r="O808">
        <v>0.858421973</v>
      </c>
      <c r="P808" t="b">
        <v>0</v>
      </c>
      <c r="Q808">
        <v>0.79088307400000002</v>
      </c>
      <c r="R808" s="2">
        <v>1</v>
      </c>
      <c r="S808" s="2" t="str">
        <f t="shared" si="49"/>
        <v>Mar</v>
      </c>
      <c r="T808">
        <f t="shared" si="50"/>
        <v>2027</v>
      </c>
      <c r="U808" s="2" t="str">
        <f t="shared" si="51"/>
        <v>Q1</v>
      </c>
      <c r="V808" t="str">
        <f t="shared" si="52"/>
        <v>Completed</v>
      </c>
    </row>
    <row r="809" spans="1:22" x14ac:dyDescent="0.3">
      <c r="A809" s="2">
        <v>808</v>
      </c>
      <c r="B809" s="1">
        <v>46465</v>
      </c>
      <c r="C809" s="2" t="s">
        <v>5</v>
      </c>
      <c r="D809">
        <v>2413</v>
      </c>
      <c r="E809">
        <v>908</v>
      </c>
      <c r="F809">
        <v>203</v>
      </c>
      <c r="G809">
        <v>4466</v>
      </c>
      <c r="H809">
        <v>1059</v>
      </c>
      <c r="I809">
        <v>0.50822503200000002</v>
      </c>
      <c r="J809">
        <v>0.51214283400000005</v>
      </c>
      <c r="K809">
        <v>185</v>
      </c>
      <c r="L809">
        <v>3837</v>
      </c>
      <c r="M809" s="2">
        <v>4</v>
      </c>
      <c r="N809">
        <v>0.68505075999999998</v>
      </c>
      <c r="O809">
        <v>0.93213809999999997</v>
      </c>
      <c r="P809" t="b">
        <v>0</v>
      </c>
      <c r="Q809">
        <v>0.47158626300000001</v>
      </c>
      <c r="R809" s="2">
        <v>1</v>
      </c>
      <c r="S809" s="2" t="str">
        <f t="shared" si="49"/>
        <v>Mar</v>
      </c>
      <c r="T809">
        <f t="shared" si="50"/>
        <v>2027</v>
      </c>
      <c r="U809" s="2" t="str">
        <f t="shared" si="51"/>
        <v>Q1</v>
      </c>
      <c r="V809" t="str">
        <f t="shared" si="52"/>
        <v>Completed</v>
      </c>
    </row>
    <row r="810" spans="1:22" x14ac:dyDescent="0.3">
      <c r="A810" s="2">
        <v>809</v>
      </c>
      <c r="B810" s="1">
        <v>46466</v>
      </c>
      <c r="C810" s="2" t="s">
        <v>18</v>
      </c>
      <c r="D810">
        <v>3552</v>
      </c>
      <c r="E810">
        <v>3588</v>
      </c>
      <c r="F810">
        <v>1788</v>
      </c>
      <c r="G810">
        <v>4110</v>
      </c>
      <c r="H810">
        <v>1361</v>
      </c>
      <c r="I810">
        <v>0.68766379399999999</v>
      </c>
      <c r="J810">
        <v>2.1940224389999998</v>
      </c>
      <c r="K810">
        <v>4221</v>
      </c>
      <c r="L810">
        <v>2428</v>
      </c>
      <c r="M810" s="2">
        <v>3</v>
      </c>
      <c r="N810">
        <v>0.57831618500000004</v>
      </c>
      <c r="O810">
        <v>0.88407824599999996</v>
      </c>
      <c r="P810" t="b">
        <v>0</v>
      </c>
      <c r="Q810">
        <v>0.70441537200000004</v>
      </c>
      <c r="R810" s="2">
        <v>1</v>
      </c>
      <c r="S810" s="2" t="str">
        <f t="shared" si="49"/>
        <v>Mar</v>
      </c>
      <c r="T810">
        <f t="shared" si="50"/>
        <v>2027</v>
      </c>
      <c r="U810" s="2" t="str">
        <f t="shared" si="51"/>
        <v>Q1</v>
      </c>
      <c r="V810" t="str">
        <f t="shared" si="52"/>
        <v>Completed</v>
      </c>
    </row>
    <row r="811" spans="1:22" x14ac:dyDescent="0.3">
      <c r="A811" s="2">
        <v>810</v>
      </c>
      <c r="B811" s="1">
        <v>46467</v>
      </c>
      <c r="C811" s="2" t="s">
        <v>18</v>
      </c>
      <c r="D811">
        <v>2682</v>
      </c>
      <c r="E811">
        <v>1958</v>
      </c>
      <c r="F811">
        <v>3429</v>
      </c>
      <c r="G811">
        <v>2279</v>
      </c>
      <c r="H811">
        <v>2775</v>
      </c>
      <c r="I811">
        <v>0.222332953</v>
      </c>
      <c r="J811">
        <v>0.58097945100000004</v>
      </c>
      <c r="K811">
        <v>2878</v>
      </c>
      <c r="L811">
        <v>1459</v>
      </c>
      <c r="M811" s="2">
        <v>2</v>
      </c>
      <c r="N811">
        <v>1.8029820990000001</v>
      </c>
      <c r="O811">
        <v>0.86211527799999998</v>
      </c>
      <c r="P811" t="b">
        <v>0</v>
      </c>
      <c r="Q811">
        <v>0.52657399800000004</v>
      </c>
      <c r="R811" s="2">
        <v>1</v>
      </c>
      <c r="S811" s="2" t="str">
        <f t="shared" si="49"/>
        <v>Mar</v>
      </c>
      <c r="T811">
        <f t="shared" si="50"/>
        <v>2027</v>
      </c>
      <c r="U811" s="2" t="str">
        <f t="shared" si="51"/>
        <v>Q1</v>
      </c>
      <c r="V811" t="str">
        <f t="shared" si="52"/>
        <v>Completed</v>
      </c>
    </row>
    <row r="812" spans="1:22" x14ac:dyDescent="0.3">
      <c r="A812" s="2">
        <v>811</v>
      </c>
      <c r="B812" s="1">
        <v>46468</v>
      </c>
      <c r="C812" s="2" t="s">
        <v>18</v>
      </c>
      <c r="D812">
        <v>1556</v>
      </c>
      <c r="E812">
        <v>2169</v>
      </c>
      <c r="F812">
        <v>1947</v>
      </c>
      <c r="G812">
        <v>3048</v>
      </c>
      <c r="H812">
        <v>823</v>
      </c>
      <c r="I812">
        <v>0.62715819900000003</v>
      </c>
      <c r="J812">
        <v>2.72857035</v>
      </c>
      <c r="K812">
        <v>2689</v>
      </c>
      <c r="L812">
        <v>3875</v>
      </c>
      <c r="M812" s="2">
        <v>5</v>
      </c>
      <c r="N812">
        <v>1.323618631</v>
      </c>
      <c r="O812">
        <v>0.83504858999999998</v>
      </c>
      <c r="P812" t="b">
        <v>0</v>
      </c>
      <c r="Q812">
        <v>0.29640228899999999</v>
      </c>
      <c r="R812" s="2">
        <v>1</v>
      </c>
      <c r="S812" s="2" t="str">
        <f t="shared" si="49"/>
        <v>Mar</v>
      </c>
      <c r="T812">
        <f t="shared" si="50"/>
        <v>2027</v>
      </c>
      <c r="U812" s="2" t="str">
        <f t="shared" si="51"/>
        <v>Q1</v>
      </c>
      <c r="V812" t="str">
        <f t="shared" si="52"/>
        <v>Completed</v>
      </c>
    </row>
    <row r="813" spans="1:22" x14ac:dyDescent="0.3">
      <c r="A813" s="2">
        <v>812</v>
      </c>
      <c r="B813" s="1">
        <v>46469</v>
      </c>
      <c r="C813" s="2" t="s">
        <v>16</v>
      </c>
      <c r="D813">
        <v>4203</v>
      </c>
      <c r="E813">
        <v>1635</v>
      </c>
      <c r="F813">
        <v>1440</v>
      </c>
      <c r="G813">
        <v>2231</v>
      </c>
      <c r="H813">
        <v>3254</v>
      </c>
      <c r="I813">
        <v>0.64305212599999995</v>
      </c>
      <c r="J813">
        <v>2.7887250350000001</v>
      </c>
      <c r="K813">
        <v>1600</v>
      </c>
      <c r="L813">
        <v>1493</v>
      </c>
      <c r="M813" s="2">
        <v>4</v>
      </c>
      <c r="N813">
        <v>0.87105403800000003</v>
      </c>
      <c r="O813">
        <v>0.88943185899999999</v>
      </c>
      <c r="P813" t="b">
        <v>0</v>
      </c>
      <c r="Q813">
        <v>0.83748977899999999</v>
      </c>
      <c r="R813" s="2">
        <v>1</v>
      </c>
      <c r="S813" s="2" t="str">
        <f t="shared" si="49"/>
        <v>Mar</v>
      </c>
      <c r="T813">
        <f t="shared" si="50"/>
        <v>2027</v>
      </c>
      <c r="U813" s="2" t="str">
        <f t="shared" si="51"/>
        <v>Q1</v>
      </c>
      <c r="V813" t="str">
        <f t="shared" si="52"/>
        <v>Completed</v>
      </c>
    </row>
    <row r="814" spans="1:22" x14ac:dyDescent="0.3">
      <c r="A814" s="2">
        <v>813</v>
      </c>
      <c r="B814" s="1">
        <v>46470</v>
      </c>
      <c r="C814" s="2" t="s">
        <v>16</v>
      </c>
      <c r="D814">
        <v>2783</v>
      </c>
      <c r="E814">
        <v>1100</v>
      </c>
      <c r="F814">
        <v>919</v>
      </c>
      <c r="G814">
        <v>2980</v>
      </c>
      <c r="H814">
        <v>2162</v>
      </c>
      <c r="I814">
        <v>0.39495909000000001</v>
      </c>
      <c r="J814">
        <v>2.7073491590000001</v>
      </c>
      <c r="K814">
        <v>3263</v>
      </c>
      <c r="L814">
        <v>3708</v>
      </c>
      <c r="M814" s="2">
        <v>4</v>
      </c>
      <c r="N814">
        <v>0.55473204300000001</v>
      </c>
      <c r="O814">
        <v>0.82915629300000004</v>
      </c>
      <c r="P814" t="b">
        <v>0</v>
      </c>
      <c r="Q814">
        <v>0.54721995099999998</v>
      </c>
      <c r="R814" s="2">
        <v>1</v>
      </c>
      <c r="S814" s="2" t="str">
        <f t="shared" si="49"/>
        <v>Mar</v>
      </c>
      <c r="T814">
        <f t="shared" si="50"/>
        <v>2027</v>
      </c>
      <c r="U814" s="2" t="str">
        <f t="shared" si="51"/>
        <v>Q1</v>
      </c>
      <c r="V814" t="str">
        <f t="shared" si="52"/>
        <v>Completed</v>
      </c>
    </row>
    <row r="815" spans="1:22" x14ac:dyDescent="0.3">
      <c r="A815" s="2">
        <v>814</v>
      </c>
      <c r="B815" s="1">
        <v>46471</v>
      </c>
      <c r="C815" s="2" t="s">
        <v>5</v>
      </c>
      <c r="D815">
        <v>4940</v>
      </c>
      <c r="E815">
        <v>1019</v>
      </c>
      <c r="F815">
        <v>3472</v>
      </c>
      <c r="G815">
        <v>1939</v>
      </c>
      <c r="H815">
        <v>1940</v>
      </c>
      <c r="I815">
        <v>0.75049442600000005</v>
      </c>
      <c r="J815">
        <v>0.50831489200000002</v>
      </c>
      <c r="K815">
        <v>199</v>
      </c>
      <c r="L815">
        <v>3968</v>
      </c>
      <c r="M815" s="2">
        <v>2</v>
      </c>
      <c r="N815">
        <v>1.2049601619999999</v>
      </c>
      <c r="O815">
        <v>0.85053451400000002</v>
      </c>
      <c r="P815" t="b">
        <v>0</v>
      </c>
      <c r="Q815">
        <v>0.98814390799999996</v>
      </c>
      <c r="R815" s="2">
        <v>1</v>
      </c>
      <c r="S815" s="2" t="str">
        <f t="shared" si="49"/>
        <v>Mar</v>
      </c>
      <c r="T815">
        <f t="shared" si="50"/>
        <v>2027</v>
      </c>
      <c r="U815" s="2" t="str">
        <f t="shared" si="51"/>
        <v>Q1</v>
      </c>
      <c r="V815" t="str">
        <f t="shared" si="52"/>
        <v>Completed</v>
      </c>
    </row>
    <row r="816" spans="1:22" x14ac:dyDescent="0.3">
      <c r="A816" s="2">
        <v>815</v>
      </c>
      <c r="B816" s="1">
        <v>46472</v>
      </c>
      <c r="C816" s="2" t="s">
        <v>17</v>
      </c>
      <c r="D816">
        <v>3110</v>
      </c>
      <c r="E816">
        <v>2773</v>
      </c>
      <c r="F816">
        <v>1032</v>
      </c>
      <c r="G816">
        <v>2996</v>
      </c>
      <c r="H816">
        <v>1373</v>
      </c>
      <c r="I816">
        <v>0.60286167000000002</v>
      </c>
      <c r="J816">
        <v>2.0911793589999998</v>
      </c>
      <c r="K816">
        <v>897</v>
      </c>
      <c r="L816">
        <v>2069</v>
      </c>
      <c r="M816" s="2">
        <v>3</v>
      </c>
      <c r="N816">
        <v>0.64116619399999997</v>
      </c>
      <c r="O816">
        <v>0.83115930699999996</v>
      </c>
      <c r="P816" t="b">
        <v>0</v>
      </c>
      <c r="Q816">
        <v>0.614063778</v>
      </c>
      <c r="R816" s="2">
        <v>1</v>
      </c>
      <c r="S816" s="2" t="str">
        <f t="shared" si="49"/>
        <v>Mar</v>
      </c>
      <c r="T816">
        <f t="shared" si="50"/>
        <v>2027</v>
      </c>
      <c r="U816" s="2" t="str">
        <f t="shared" si="51"/>
        <v>Q1</v>
      </c>
      <c r="V816" t="str">
        <f t="shared" si="52"/>
        <v>Completed</v>
      </c>
    </row>
    <row r="817" spans="1:22" x14ac:dyDescent="0.3">
      <c r="A817" s="2">
        <v>816</v>
      </c>
      <c r="B817" s="1">
        <v>46473</v>
      </c>
      <c r="C817" s="2" t="s">
        <v>17</v>
      </c>
      <c r="D817">
        <v>3454</v>
      </c>
      <c r="E817">
        <v>689</v>
      </c>
      <c r="F817">
        <v>3628</v>
      </c>
      <c r="G817">
        <v>4893</v>
      </c>
      <c r="H817">
        <v>1283</v>
      </c>
      <c r="I817">
        <v>0.588229</v>
      </c>
      <c r="J817">
        <v>2.9378831719999998</v>
      </c>
      <c r="K817">
        <v>2602</v>
      </c>
      <c r="L817">
        <v>675</v>
      </c>
      <c r="M817" s="2">
        <v>9</v>
      </c>
      <c r="N817">
        <v>1.1687551469999999</v>
      </c>
      <c r="O817">
        <v>0.82174108400000001</v>
      </c>
      <c r="P817" t="b">
        <v>0</v>
      </c>
      <c r="Q817">
        <v>0.68438266599999997</v>
      </c>
      <c r="R817" s="2">
        <v>1</v>
      </c>
      <c r="S817" s="2" t="str">
        <f t="shared" si="49"/>
        <v>Mar</v>
      </c>
      <c r="T817">
        <f t="shared" si="50"/>
        <v>2027</v>
      </c>
      <c r="U817" s="2" t="str">
        <f t="shared" si="51"/>
        <v>Q1</v>
      </c>
      <c r="V817" t="str">
        <f t="shared" si="52"/>
        <v>Completed</v>
      </c>
    </row>
    <row r="818" spans="1:22" x14ac:dyDescent="0.3">
      <c r="A818" s="2">
        <v>817</v>
      </c>
      <c r="B818" s="1">
        <v>46474</v>
      </c>
      <c r="C818" s="2" t="s">
        <v>17</v>
      </c>
      <c r="D818">
        <v>268</v>
      </c>
      <c r="E818">
        <v>2303</v>
      </c>
      <c r="F818">
        <v>3645</v>
      </c>
      <c r="G818">
        <v>2841</v>
      </c>
      <c r="H818">
        <v>2733</v>
      </c>
      <c r="I818">
        <v>0.45018372000000001</v>
      </c>
      <c r="J818">
        <v>0.50188896100000002</v>
      </c>
      <c r="K818">
        <v>868</v>
      </c>
      <c r="L818">
        <v>3539</v>
      </c>
      <c r="M818" s="2">
        <v>4</v>
      </c>
      <c r="N818">
        <v>1.7216097930000001</v>
      </c>
      <c r="O818">
        <v>0.979448349</v>
      </c>
      <c r="P818" t="b">
        <v>0</v>
      </c>
      <c r="Q818">
        <v>3.3115289999999999E-2</v>
      </c>
      <c r="R818" s="2">
        <v>1</v>
      </c>
      <c r="S818" s="2" t="str">
        <f t="shared" si="49"/>
        <v>Mar</v>
      </c>
      <c r="T818">
        <f t="shared" si="50"/>
        <v>2027</v>
      </c>
      <c r="U818" s="2" t="str">
        <f t="shared" si="51"/>
        <v>Q1</v>
      </c>
      <c r="V818" t="str">
        <f t="shared" si="52"/>
        <v>Completed</v>
      </c>
    </row>
    <row r="819" spans="1:22" x14ac:dyDescent="0.3">
      <c r="A819" s="2">
        <v>818</v>
      </c>
      <c r="B819" s="1">
        <v>46475</v>
      </c>
      <c r="C819" s="2" t="s">
        <v>17</v>
      </c>
      <c r="D819">
        <v>2887</v>
      </c>
      <c r="E819">
        <v>4158</v>
      </c>
      <c r="F819">
        <v>1050</v>
      </c>
      <c r="G819">
        <v>1750</v>
      </c>
      <c r="H819">
        <v>3516</v>
      </c>
      <c r="I819">
        <v>0.58421805900000001</v>
      </c>
      <c r="J819">
        <v>2.9977937400000001</v>
      </c>
      <c r="K819">
        <v>4999</v>
      </c>
      <c r="L819">
        <v>1909</v>
      </c>
      <c r="M819" s="2">
        <v>5</v>
      </c>
      <c r="N819">
        <v>1.200437051</v>
      </c>
      <c r="O819">
        <v>0.96201622600000003</v>
      </c>
      <c r="P819" t="b">
        <v>0</v>
      </c>
      <c r="Q819">
        <v>0.56847915000000004</v>
      </c>
      <c r="R819" s="2">
        <v>0</v>
      </c>
      <c r="S819" s="2" t="str">
        <f t="shared" si="49"/>
        <v>Mar</v>
      </c>
      <c r="T819">
        <f t="shared" si="50"/>
        <v>2027</v>
      </c>
      <c r="U819" s="2" t="str">
        <f t="shared" si="51"/>
        <v>Q1</v>
      </c>
      <c r="V819" t="str">
        <f t="shared" si="52"/>
        <v>Completed</v>
      </c>
    </row>
    <row r="820" spans="1:22" x14ac:dyDescent="0.3">
      <c r="A820" s="2">
        <v>819</v>
      </c>
      <c r="B820" s="1">
        <v>46476</v>
      </c>
      <c r="C820" s="2" t="s">
        <v>5</v>
      </c>
      <c r="D820">
        <v>1643</v>
      </c>
      <c r="E820">
        <v>2612</v>
      </c>
      <c r="F820">
        <v>1278</v>
      </c>
      <c r="G820">
        <v>3855</v>
      </c>
      <c r="H820">
        <v>231</v>
      </c>
      <c r="I820">
        <v>0.56537700800000001</v>
      </c>
      <c r="J820">
        <v>2.1321486420000002</v>
      </c>
      <c r="K820">
        <v>143</v>
      </c>
      <c r="L820">
        <v>3902</v>
      </c>
      <c r="M820" s="2">
        <v>5</v>
      </c>
      <c r="N820">
        <v>1.7325963680000001</v>
      </c>
      <c r="O820">
        <v>0.98408907000000001</v>
      </c>
      <c r="P820" t="b">
        <v>0</v>
      </c>
      <c r="Q820">
        <v>0.31418642699999999</v>
      </c>
      <c r="R820" s="2">
        <v>1</v>
      </c>
      <c r="S820" s="2" t="str">
        <f t="shared" si="49"/>
        <v>Mar</v>
      </c>
      <c r="T820">
        <f t="shared" si="50"/>
        <v>2027</v>
      </c>
      <c r="U820" s="2" t="str">
        <f t="shared" si="51"/>
        <v>Q1</v>
      </c>
      <c r="V820" t="str">
        <f t="shared" si="52"/>
        <v>Failed</v>
      </c>
    </row>
    <row r="821" spans="1:22" x14ac:dyDescent="0.3">
      <c r="A821" s="2">
        <v>820</v>
      </c>
      <c r="B821" s="1">
        <v>46477</v>
      </c>
      <c r="C821" s="2" t="s">
        <v>18</v>
      </c>
      <c r="D821">
        <v>3491</v>
      </c>
      <c r="E821">
        <v>1159</v>
      </c>
      <c r="F821">
        <v>1388</v>
      </c>
      <c r="G821">
        <v>3556</v>
      </c>
      <c r="H821">
        <v>1603</v>
      </c>
      <c r="I821">
        <v>0.37808675000000003</v>
      </c>
      <c r="J821">
        <v>2.0300623340000001</v>
      </c>
      <c r="K821">
        <v>3323</v>
      </c>
      <c r="L821">
        <v>846</v>
      </c>
      <c r="M821" s="2">
        <v>8</v>
      </c>
      <c r="N821">
        <v>1.266671313</v>
      </c>
      <c r="O821">
        <v>0.83112043599999996</v>
      </c>
      <c r="P821" t="b">
        <v>0</v>
      </c>
      <c r="Q821">
        <v>0.69194603399999999</v>
      </c>
      <c r="R821" s="2">
        <v>1</v>
      </c>
      <c r="S821" s="2" t="str">
        <f t="shared" si="49"/>
        <v>Mar</v>
      </c>
      <c r="T821">
        <f t="shared" si="50"/>
        <v>2027</v>
      </c>
      <c r="U821" s="2" t="str">
        <f t="shared" si="51"/>
        <v>Q1</v>
      </c>
      <c r="V821" t="str">
        <f t="shared" si="52"/>
        <v>Completed</v>
      </c>
    </row>
    <row r="822" spans="1:22" x14ac:dyDescent="0.3">
      <c r="A822" s="2">
        <v>821</v>
      </c>
      <c r="B822" s="1">
        <v>46478</v>
      </c>
      <c r="C822" s="2" t="s">
        <v>5</v>
      </c>
      <c r="D822">
        <v>3228</v>
      </c>
      <c r="E822">
        <v>810</v>
      </c>
      <c r="F822">
        <v>1854</v>
      </c>
      <c r="G822">
        <v>1797</v>
      </c>
      <c r="H822">
        <v>483</v>
      </c>
      <c r="I822">
        <v>0.57869294800000004</v>
      </c>
      <c r="J822">
        <v>1.8910602919999999</v>
      </c>
      <c r="K822">
        <v>4212</v>
      </c>
      <c r="L822">
        <v>1154</v>
      </c>
      <c r="M822" s="2">
        <v>5</v>
      </c>
      <c r="N822">
        <v>0.51415968300000003</v>
      </c>
      <c r="O822">
        <v>0.88000885699999998</v>
      </c>
      <c r="P822" t="b">
        <v>0</v>
      </c>
      <c r="Q822">
        <v>0.63818479100000003</v>
      </c>
      <c r="R822" s="2">
        <v>1</v>
      </c>
      <c r="S822" s="2" t="str">
        <f t="shared" si="49"/>
        <v>Apr</v>
      </c>
      <c r="T822">
        <f t="shared" si="50"/>
        <v>2027</v>
      </c>
      <c r="U822" s="2" t="str">
        <f t="shared" si="51"/>
        <v>Q2</v>
      </c>
      <c r="V822" t="str">
        <f t="shared" si="52"/>
        <v>Completed</v>
      </c>
    </row>
    <row r="823" spans="1:22" x14ac:dyDescent="0.3">
      <c r="A823" s="2">
        <v>822</v>
      </c>
      <c r="B823" s="1">
        <v>46479</v>
      </c>
      <c r="C823" s="2" t="s">
        <v>18</v>
      </c>
      <c r="D823">
        <v>2902</v>
      </c>
      <c r="E823">
        <v>2437</v>
      </c>
      <c r="F823">
        <v>945</v>
      </c>
      <c r="G823">
        <v>1542</v>
      </c>
      <c r="H823">
        <v>1754</v>
      </c>
      <c r="I823">
        <v>0.65626888999999999</v>
      </c>
      <c r="J823">
        <v>1.8168244609999999</v>
      </c>
      <c r="K823">
        <v>3093</v>
      </c>
      <c r="L823">
        <v>3202</v>
      </c>
      <c r="M823" s="2">
        <v>5</v>
      </c>
      <c r="N823">
        <v>0.86702195599999998</v>
      </c>
      <c r="O823">
        <v>0.917347197</v>
      </c>
      <c r="P823" t="b">
        <v>1</v>
      </c>
      <c r="Q823">
        <v>0.57154537999999999</v>
      </c>
      <c r="R823" s="2">
        <v>1</v>
      </c>
      <c r="S823" s="2" t="str">
        <f t="shared" si="49"/>
        <v>Apr</v>
      </c>
      <c r="T823">
        <f t="shared" si="50"/>
        <v>2027</v>
      </c>
      <c r="U823" s="2" t="str">
        <f t="shared" si="51"/>
        <v>Q2</v>
      </c>
      <c r="V823" t="str">
        <f t="shared" si="52"/>
        <v>Completed</v>
      </c>
    </row>
    <row r="824" spans="1:22" x14ac:dyDescent="0.3">
      <c r="A824" s="2">
        <v>823</v>
      </c>
      <c r="B824" s="1">
        <v>46480</v>
      </c>
      <c r="C824" s="2" t="s">
        <v>17</v>
      </c>
      <c r="D824">
        <v>1502</v>
      </c>
      <c r="E824">
        <v>2615</v>
      </c>
      <c r="F824">
        <v>3484</v>
      </c>
      <c r="G824">
        <v>1344</v>
      </c>
      <c r="H824">
        <v>431</v>
      </c>
      <c r="I824">
        <v>0.68155439299999998</v>
      </c>
      <c r="J824">
        <v>0.52356442599999997</v>
      </c>
      <c r="K824">
        <v>4959</v>
      </c>
      <c r="L824">
        <v>2085</v>
      </c>
      <c r="M824" s="2">
        <v>1</v>
      </c>
      <c r="N824">
        <v>0.93533033600000004</v>
      </c>
      <c r="O824">
        <v>0.849335862</v>
      </c>
      <c r="P824" t="b">
        <v>0</v>
      </c>
      <c r="Q824">
        <v>0.285363859</v>
      </c>
      <c r="R824" s="2">
        <v>1</v>
      </c>
      <c r="S824" s="2" t="str">
        <f t="shared" si="49"/>
        <v>Apr</v>
      </c>
      <c r="T824">
        <f t="shared" si="50"/>
        <v>2027</v>
      </c>
      <c r="U824" s="2" t="str">
        <f t="shared" si="51"/>
        <v>Q2</v>
      </c>
      <c r="V824" t="str">
        <f t="shared" si="52"/>
        <v>Completed</v>
      </c>
    </row>
    <row r="825" spans="1:22" x14ac:dyDescent="0.3">
      <c r="A825" s="2">
        <v>824</v>
      </c>
      <c r="B825" s="1">
        <v>46481</v>
      </c>
      <c r="C825" s="2" t="s">
        <v>16</v>
      </c>
      <c r="D825">
        <v>3677</v>
      </c>
      <c r="E825">
        <v>3031</v>
      </c>
      <c r="F825">
        <v>980</v>
      </c>
      <c r="G825">
        <v>2237</v>
      </c>
      <c r="H825">
        <v>3422</v>
      </c>
      <c r="I825">
        <v>0.29143165100000001</v>
      </c>
      <c r="J825">
        <v>0.68093951799999997</v>
      </c>
      <c r="K825">
        <v>792</v>
      </c>
      <c r="L825">
        <v>138</v>
      </c>
      <c r="M825" s="2">
        <v>1</v>
      </c>
      <c r="N825">
        <v>1.6724544859999999</v>
      </c>
      <c r="O825">
        <v>0.91655001300000005</v>
      </c>
      <c r="P825" t="b">
        <v>1</v>
      </c>
      <c r="Q825">
        <v>0.72996729400000004</v>
      </c>
      <c r="R825" s="2">
        <v>1</v>
      </c>
      <c r="S825" s="2" t="str">
        <f t="shared" si="49"/>
        <v>Apr</v>
      </c>
      <c r="T825">
        <f t="shared" si="50"/>
        <v>2027</v>
      </c>
      <c r="U825" s="2" t="str">
        <f t="shared" si="51"/>
        <v>Q2</v>
      </c>
      <c r="V825" t="str">
        <f t="shared" si="52"/>
        <v>Completed</v>
      </c>
    </row>
    <row r="826" spans="1:22" x14ac:dyDescent="0.3">
      <c r="A826" s="2">
        <v>825</v>
      </c>
      <c r="B826" s="1">
        <v>46482</v>
      </c>
      <c r="C826" s="2" t="s">
        <v>17</v>
      </c>
      <c r="D826">
        <v>4062</v>
      </c>
      <c r="E826">
        <v>3812</v>
      </c>
      <c r="F826">
        <v>3103</v>
      </c>
      <c r="G826">
        <v>4091</v>
      </c>
      <c r="H826">
        <v>1005</v>
      </c>
      <c r="I826">
        <v>0.56148259</v>
      </c>
      <c r="J826">
        <v>2.6238961299999999</v>
      </c>
      <c r="K826">
        <v>4214</v>
      </c>
      <c r="L826">
        <v>2054</v>
      </c>
      <c r="M826" s="2">
        <v>6</v>
      </c>
      <c r="N826">
        <v>0.53311729299999999</v>
      </c>
      <c r="O826">
        <v>0.82005467399999998</v>
      </c>
      <c r="P826" t="b">
        <v>0</v>
      </c>
      <c r="Q826">
        <v>0.80866721200000002</v>
      </c>
      <c r="R826" s="2">
        <v>1</v>
      </c>
      <c r="S826" s="2" t="str">
        <f t="shared" si="49"/>
        <v>Apr</v>
      </c>
      <c r="T826">
        <f t="shared" si="50"/>
        <v>2027</v>
      </c>
      <c r="U826" s="2" t="str">
        <f t="shared" si="51"/>
        <v>Q2</v>
      </c>
      <c r="V826" t="str">
        <f t="shared" si="52"/>
        <v>Completed</v>
      </c>
    </row>
    <row r="827" spans="1:22" x14ac:dyDescent="0.3">
      <c r="A827" s="2">
        <v>826</v>
      </c>
      <c r="B827" s="1">
        <v>46483</v>
      </c>
      <c r="C827" s="2" t="s">
        <v>18</v>
      </c>
      <c r="D827">
        <v>3430</v>
      </c>
      <c r="E827">
        <v>2402</v>
      </c>
      <c r="F827">
        <v>2012</v>
      </c>
      <c r="G827">
        <v>1267</v>
      </c>
      <c r="H827">
        <v>2321</v>
      </c>
      <c r="I827">
        <v>0.60762909499999995</v>
      </c>
      <c r="J827">
        <v>2.2814873119999999</v>
      </c>
      <c r="K827">
        <v>4326</v>
      </c>
      <c r="L827">
        <v>722</v>
      </c>
      <c r="M827" s="2">
        <v>7</v>
      </c>
      <c r="N827">
        <v>0.90148277300000001</v>
      </c>
      <c r="O827">
        <v>0.94845156200000003</v>
      </c>
      <c r="P827" t="b">
        <v>0</v>
      </c>
      <c r="Q827">
        <v>0.67947669700000002</v>
      </c>
      <c r="R827" s="2">
        <v>1</v>
      </c>
      <c r="S827" s="2" t="str">
        <f t="shared" si="49"/>
        <v>Apr</v>
      </c>
      <c r="T827">
        <f t="shared" si="50"/>
        <v>2027</v>
      </c>
      <c r="U827" s="2" t="str">
        <f t="shared" si="51"/>
        <v>Q2</v>
      </c>
      <c r="V827" t="str">
        <f t="shared" si="52"/>
        <v>Completed</v>
      </c>
    </row>
    <row r="828" spans="1:22" x14ac:dyDescent="0.3">
      <c r="A828" s="2">
        <v>827</v>
      </c>
      <c r="B828" s="1">
        <v>46484</v>
      </c>
      <c r="C828" s="2" t="s">
        <v>17</v>
      </c>
      <c r="D828">
        <v>984</v>
      </c>
      <c r="E828">
        <v>1689</v>
      </c>
      <c r="F828">
        <v>2985</v>
      </c>
      <c r="G828">
        <v>1902</v>
      </c>
      <c r="H828">
        <v>3902</v>
      </c>
      <c r="I828">
        <v>0.24168178400000001</v>
      </c>
      <c r="J828">
        <v>0.53763384400000003</v>
      </c>
      <c r="K828">
        <v>2359</v>
      </c>
      <c r="L828">
        <v>886</v>
      </c>
      <c r="M828" s="2">
        <v>4</v>
      </c>
      <c r="N828">
        <v>0.50303640000000005</v>
      </c>
      <c r="O828">
        <v>0.94778208900000005</v>
      </c>
      <c r="P828" t="b">
        <v>0</v>
      </c>
      <c r="Q828">
        <v>0.17947669699999999</v>
      </c>
      <c r="R828" s="2">
        <v>1</v>
      </c>
      <c r="S828" s="2" t="str">
        <f t="shared" si="49"/>
        <v>Apr</v>
      </c>
      <c r="T828">
        <f t="shared" si="50"/>
        <v>2027</v>
      </c>
      <c r="U828" s="2" t="str">
        <f t="shared" si="51"/>
        <v>Q2</v>
      </c>
      <c r="V828" t="str">
        <f t="shared" si="52"/>
        <v>Completed</v>
      </c>
    </row>
    <row r="829" spans="1:22" x14ac:dyDescent="0.3">
      <c r="A829" s="2">
        <v>828</v>
      </c>
      <c r="B829" s="1">
        <v>46485</v>
      </c>
      <c r="C829" s="2" t="s">
        <v>16</v>
      </c>
      <c r="D829">
        <v>2209</v>
      </c>
      <c r="E829">
        <v>3701</v>
      </c>
      <c r="F829">
        <v>2046</v>
      </c>
      <c r="G829">
        <v>651</v>
      </c>
      <c r="H829">
        <v>574</v>
      </c>
      <c r="I829">
        <v>0.288572253</v>
      </c>
      <c r="J829">
        <v>2.30202756</v>
      </c>
      <c r="K829">
        <v>1644</v>
      </c>
      <c r="L829">
        <v>1582</v>
      </c>
      <c r="M829" s="2">
        <v>4</v>
      </c>
      <c r="N829">
        <v>0.53759500100000002</v>
      </c>
      <c r="O829">
        <v>0.94163856800000001</v>
      </c>
      <c r="P829" t="b">
        <v>0</v>
      </c>
      <c r="Q829">
        <v>0.42988552699999999</v>
      </c>
      <c r="R829" s="2">
        <v>1</v>
      </c>
      <c r="S829" s="2" t="str">
        <f t="shared" si="49"/>
        <v>Apr</v>
      </c>
      <c r="T829">
        <f t="shared" si="50"/>
        <v>2027</v>
      </c>
      <c r="U829" s="2" t="str">
        <f t="shared" si="51"/>
        <v>Q2</v>
      </c>
      <c r="V829" t="str">
        <f t="shared" si="52"/>
        <v>Completed</v>
      </c>
    </row>
    <row r="830" spans="1:22" x14ac:dyDescent="0.3">
      <c r="A830" s="2">
        <v>829</v>
      </c>
      <c r="B830" s="1">
        <v>46486</v>
      </c>
      <c r="C830" s="2" t="s">
        <v>16</v>
      </c>
      <c r="D830">
        <v>1662</v>
      </c>
      <c r="E830">
        <v>2768</v>
      </c>
      <c r="F830">
        <v>2574</v>
      </c>
      <c r="G830">
        <v>1999</v>
      </c>
      <c r="H830">
        <v>559</v>
      </c>
      <c r="I830">
        <v>0.57528232400000001</v>
      </c>
      <c r="J830">
        <v>1.798793809</v>
      </c>
      <c r="K830">
        <v>4350</v>
      </c>
      <c r="L830">
        <v>983</v>
      </c>
      <c r="M830" s="2">
        <v>9</v>
      </c>
      <c r="N830">
        <v>1.5592344279999999</v>
      </c>
      <c r="O830">
        <v>0.89693785299999995</v>
      </c>
      <c r="P830" t="b">
        <v>0</v>
      </c>
      <c r="Q830">
        <v>0.31807031899999999</v>
      </c>
      <c r="R830" s="2">
        <v>1</v>
      </c>
      <c r="S830" s="2" t="str">
        <f t="shared" si="49"/>
        <v>Apr</v>
      </c>
      <c r="T830">
        <f t="shared" si="50"/>
        <v>2027</v>
      </c>
      <c r="U830" s="2" t="str">
        <f t="shared" si="51"/>
        <v>Q2</v>
      </c>
      <c r="V830" t="str">
        <f t="shared" si="52"/>
        <v>Completed</v>
      </c>
    </row>
    <row r="831" spans="1:22" x14ac:dyDescent="0.3">
      <c r="A831" s="2">
        <v>830</v>
      </c>
      <c r="B831" s="1">
        <v>46487</v>
      </c>
      <c r="C831" s="2" t="s">
        <v>16</v>
      </c>
      <c r="D831">
        <v>2592</v>
      </c>
      <c r="E831">
        <v>4420</v>
      </c>
      <c r="F831">
        <v>3367</v>
      </c>
      <c r="G831">
        <v>618</v>
      </c>
      <c r="H831">
        <v>2064</v>
      </c>
      <c r="I831">
        <v>0.75992329700000005</v>
      </c>
      <c r="J831">
        <v>2.98818516</v>
      </c>
      <c r="K831">
        <v>876</v>
      </c>
      <c r="L831">
        <v>3282</v>
      </c>
      <c r="M831" s="2">
        <v>8</v>
      </c>
      <c r="N831">
        <v>1.4888207790000001</v>
      </c>
      <c r="O831">
        <v>0.90570321600000003</v>
      </c>
      <c r="P831" t="b">
        <v>0</v>
      </c>
      <c r="Q831">
        <v>0.508176615</v>
      </c>
      <c r="R831" s="2">
        <v>1</v>
      </c>
      <c r="S831" s="2" t="str">
        <f t="shared" si="49"/>
        <v>Apr</v>
      </c>
      <c r="T831">
        <f t="shared" si="50"/>
        <v>2027</v>
      </c>
      <c r="U831" s="2" t="str">
        <f t="shared" si="51"/>
        <v>Q2</v>
      </c>
      <c r="V831" t="str">
        <f t="shared" si="52"/>
        <v>Completed</v>
      </c>
    </row>
    <row r="832" spans="1:22" x14ac:dyDescent="0.3">
      <c r="A832" s="2">
        <v>831</v>
      </c>
      <c r="B832" s="1">
        <v>46488</v>
      </c>
      <c r="C832" s="2" t="s">
        <v>18</v>
      </c>
      <c r="D832">
        <v>2476</v>
      </c>
      <c r="E832">
        <v>1036</v>
      </c>
      <c r="F832">
        <v>3114</v>
      </c>
      <c r="G832">
        <v>3145</v>
      </c>
      <c r="H832">
        <v>1565</v>
      </c>
      <c r="I832">
        <v>0.650451322</v>
      </c>
      <c r="J832">
        <v>2.5119760329999998</v>
      </c>
      <c r="K832">
        <v>3647</v>
      </c>
      <c r="L832">
        <v>3219</v>
      </c>
      <c r="M832" s="2">
        <v>5</v>
      </c>
      <c r="N832">
        <v>0.98428986100000004</v>
      </c>
      <c r="O832">
        <v>0.88755121800000003</v>
      </c>
      <c r="P832" t="b">
        <v>0</v>
      </c>
      <c r="Q832">
        <v>0.484464432</v>
      </c>
      <c r="R832" s="2">
        <v>1</v>
      </c>
      <c r="S832" s="2" t="str">
        <f t="shared" si="49"/>
        <v>Apr</v>
      </c>
      <c r="T832">
        <f t="shared" si="50"/>
        <v>2027</v>
      </c>
      <c r="U832" s="2" t="str">
        <f t="shared" si="51"/>
        <v>Q2</v>
      </c>
      <c r="V832" t="str">
        <f t="shared" si="52"/>
        <v>Completed</v>
      </c>
    </row>
    <row r="833" spans="1:22" x14ac:dyDescent="0.3">
      <c r="A833" s="2">
        <v>832</v>
      </c>
      <c r="B833" s="1">
        <v>46489</v>
      </c>
      <c r="C833" s="2" t="s">
        <v>16</v>
      </c>
      <c r="D833">
        <v>2156</v>
      </c>
      <c r="E833">
        <v>1809</v>
      </c>
      <c r="F833">
        <v>1643</v>
      </c>
      <c r="G833">
        <v>1225</v>
      </c>
      <c r="H833">
        <v>2949</v>
      </c>
      <c r="I833">
        <v>0.78422442599999997</v>
      </c>
      <c r="J833">
        <v>2.5445265969999999</v>
      </c>
      <c r="K833">
        <v>2047</v>
      </c>
      <c r="L833">
        <v>2133</v>
      </c>
      <c r="M833" s="2">
        <v>4</v>
      </c>
      <c r="N833">
        <v>1.757546257</v>
      </c>
      <c r="O833">
        <v>0.88061203300000002</v>
      </c>
      <c r="P833" t="b">
        <v>0</v>
      </c>
      <c r="Q833">
        <v>0.41905151299999999</v>
      </c>
      <c r="R833" s="2">
        <v>1</v>
      </c>
      <c r="S833" s="2" t="str">
        <f t="shared" si="49"/>
        <v>Apr</v>
      </c>
      <c r="T833">
        <f t="shared" si="50"/>
        <v>2027</v>
      </c>
      <c r="U833" s="2" t="str">
        <f t="shared" si="51"/>
        <v>Q2</v>
      </c>
      <c r="V833" t="str">
        <f t="shared" si="52"/>
        <v>Completed</v>
      </c>
    </row>
    <row r="834" spans="1:22" x14ac:dyDescent="0.3">
      <c r="A834" s="2">
        <v>833</v>
      </c>
      <c r="B834" s="1">
        <v>46490</v>
      </c>
      <c r="C834" s="2" t="s">
        <v>16</v>
      </c>
      <c r="D834">
        <v>512</v>
      </c>
      <c r="E834">
        <v>1086</v>
      </c>
      <c r="F834">
        <v>2224</v>
      </c>
      <c r="G834">
        <v>4701</v>
      </c>
      <c r="H834">
        <v>1150</v>
      </c>
      <c r="I834">
        <v>0.55979245799999999</v>
      </c>
      <c r="J834">
        <v>2.1605413699999998</v>
      </c>
      <c r="K834">
        <v>1078</v>
      </c>
      <c r="L834">
        <v>706</v>
      </c>
      <c r="M834" s="2">
        <v>3</v>
      </c>
      <c r="N834">
        <v>1.666523811</v>
      </c>
      <c r="O834">
        <v>0.82318856900000004</v>
      </c>
      <c r="P834" t="b">
        <v>0</v>
      </c>
      <c r="Q834">
        <v>8.2992641000000006E-2</v>
      </c>
      <c r="R834" s="2">
        <v>1</v>
      </c>
      <c r="S834" s="2" t="str">
        <f t="shared" ref="S834:S897" si="53">TEXT(B834,"MMM")</f>
        <v>Apr</v>
      </c>
      <c r="T834">
        <f t="shared" ref="T834:T897" si="54">YEAR(B834)</f>
        <v>2027</v>
      </c>
      <c r="U834" s="2" t="str">
        <f t="shared" si="51"/>
        <v>Q2</v>
      </c>
      <c r="V834" t="str">
        <f t="shared" si="52"/>
        <v>Completed</v>
      </c>
    </row>
    <row r="835" spans="1:22" x14ac:dyDescent="0.3">
      <c r="A835" s="2">
        <v>834</v>
      </c>
      <c r="B835" s="1">
        <v>46491</v>
      </c>
      <c r="C835" s="2" t="s">
        <v>16</v>
      </c>
      <c r="D835">
        <v>4293</v>
      </c>
      <c r="E835">
        <v>3095</v>
      </c>
      <c r="F835">
        <v>3670</v>
      </c>
      <c r="G835">
        <v>2705</v>
      </c>
      <c r="H835">
        <v>1468</v>
      </c>
      <c r="I835">
        <v>0.301147779</v>
      </c>
      <c r="J835">
        <v>1.5440365620000001</v>
      </c>
      <c r="K835">
        <v>1203</v>
      </c>
      <c r="L835">
        <v>1871</v>
      </c>
      <c r="M835" s="2">
        <v>9</v>
      </c>
      <c r="N835">
        <v>0.80972739400000004</v>
      </c>
      <c r="O835">
        <v>0.88452490500000003</v>
      </c>
      <c r="P835" t="b">
        <v>0</v>
      </c>
      <c r="Q835">
        <v>0.85588716300000001</v>
      </c>
      <c r="R835" s="2">
        <v>1</v>
      </c>
      <c r="S835" s="2" t="str">
        <f t="shared" si="53"/>
        <v>Apr</v>
      </c>
      <c r="T835">
        <f t="shared" si="54"/>
        <v>2027</v>
      </c>
      <c r="U835" s="2" t="str">
        <f t="shared" ref="U835:U898" si="55">"Q"&amp;ROUNDUP(MONTH(B835)/3,0)</f>
        <v>Q2</v>
      </c>
      <c r="V835" t="str">
        <f t="shared" si="52"/>
        <v>Completed</v>
      </c>
    </row>
    <row r="836" spans="1:22" x14ac:dyDescent="0.3">
      <c r="A836" s="2">
        <v>835</v>
      </c>
      <c r="B836" s="1">
        <v>46492</v>
      </c>
      <c r="C836" s="2" t="s">
        <v>5</v>
      </c>
      <c r="D836">
        <v>3827</v>
      </c>
      <c r="E836">
        <v>3851</v>
      </c>
      <c r="F836">
        <v>1728</v>
      </c>
      <c r="G836">
        <v>3320</v>
      </c>
      <c r="H836">
        <v>1830</v>
      </c>
      <c r="I836">
        <v>0.36084522000000002</v>
      </c>
      <c r="J836">
        <v>1.5563791549999999</v>
      </c>
      <c r="K836">
        <v>2892</v>
      </c>
      <c r="L836">
        <v>860</v>
      </c>
      <c r="M836" s="2">
        <v>1</v>
      </c>
      <c r="N836">
        <v>1.924210862</v>
      </c>
      <c r="O836">
        <v>0.96740738400000004</v>
      </c>
      <c r="P836" t="b">
        <v>0</v>
      </c>
      <c r="Q836">
        <v>0.76062959900000005</v>
      </c>
      <c r="R836" s="2">
        <v>1</v>
      </c>
      <c r="S836" s="2" t="str">
        <f t="shared" si="53"/>
        <v>Apr</v>
      </c>
      <c r="T836">
        <f t="shared" si="54"/>
        <v>2027</v>
      </c>
      <c r="U836" s="2" t="str">
        <f t="shared" si="55"/>
        <v>Q2</v>
      </c>
      <c r="V836" t="str">
        <f t="shared" ref="V836:V899" si="56">IF(R835=1,"Completed","Failed")</f>
        <v>Completed</v>
      </c>
    </row>
    <row r="837" spans="1:22" x14ac:dyDescent="0.3">
      <c r="A837" s="2">
        <v>836</v>
      </c>
      <c r="B837" s="1">
        <v>46493</v>
      </c>
      <c r="C837" s="2" t="s">
        <v>17</v>
      </c>
      <c r="D837">
        <v>4526</v>
      </c>
      <c r="E837">
        <v>2622</v>
      </c>
      <c r="F837">
        <v>877</v>
      </c>
      <c r="G837">
        <v>461</v>
      </c>
      <c r="H837">
        <v>2086</v>
      </c>
      <c r="I837">
        <v>0.77801699499999999</v>
      </c>
      <c r="J837">
        <v>1.0689661779999999</v>
      </c>
      <c r="K837">
        <v>4606</v>
      </c>
      <c r="L837">
        <v>3515</v>
      </c>
      <c r="M837" s="2">
        <v>1</v>
      </c>
      <c r="N837">
        <v>0.657383359</v>
      </c>
      <c r="O837">
        <v>0.92069219700000005</v>
      </c>
      <c r="P837" t="b">
        <v>0</v>
      </c>
      <c r="Q837">
        <v>0.90351594400000002</v>
      </c>
      <c r="R837" s="2">
        <v>1</v>
      </c>
      <c r="S837" s="2" t="str">
        <f t="shared" si="53"/>
        <v>Apr</v>
      </c>
      <c r="T837">
        <f t="shared" si="54"/>
        <v>2027</v>
      </c>
      <c r="U837" s="2" t="str">
        <f t="shared" si="55"/>
        <v>Q2</v>
      </c>
      <c r="V837" t="str">
        <f t="shared" si="56"/>
        <v>Completed</v>
      </c>
    </row>
    <row r="838" spans="1:22" x14ac:dyDescent="0.3">
      <c r="A838" s="2">
        <v>837</v>
      </c>
      <c r="B838" s="1">
        <v>46494</v>
      </c>
      <c r="C838" s="2" t="s">
        <v>5</v>
      </c>
      <c r="D838">
        <v>252</v>
      </c>
      <c r="E838">
        <v>980</v>
      </c>
      <c r="F838">
        <v>1169</v>
      </c>
      <c r="G838">
        <v>3785</v>
      </c>
      <c r="H838">
        <v>530</v>
      </c>
      <c r="I838">
        <v>0.73744633800000003</v>
      </c>
      <c r="J838">
        <v>2.0926176249999999</v>
      </c>
      <c r="K838">
        <v>1424</v>
      </c>
      <c r="L838">
        <v>3892</v>
      </c>
      <c r="M838" s="2">
        <v>9</v>
      </c>
      <c r="N838">
        <v>1.132001899</v>
      </c>
      <c r="O838">
        <v>0.86966346699999997</v>
      </c>
      <c r="P838" t="b">
        <v>0</v>
      </c>
      <c r="Q838">
        <v>2.9844644E-2</v>
      </c>
      <c r="R838" s="2">
        <v>1</v>
      </c>
      <c r="S838" s="2" t="str">
        <f t="shared" si="53"/>
        <v>Apr</v>
      </c>
      <c r="T838">
        <f t="shared" si="54"/>
        <v>2027</v>
      </c>
      <c r="U838" s="2" t="str">
        <f t="shared" si="55"/>
        <v>Q2</v>
      </c>
      <c r="V838" t="str">
        <f t="shared" si="56"/>
        <v>Completed</v>
      </c>
    </row>
    <row r="839" spans="1:22" x14ac:dyDescent="0.3">
      <c r="A839" s="2">
        <v>838</v>
      </c>
      <c r="B839" s="1">
        <v>46495</v>
      </c>
      <c r="C839" s="2" t="s">
        <v>18</v>
      </c>
      <c r="D839">
        <v>1860</v>
      </c>
      <c r="E839">
        <v>1817</v>
      </c>
      <c r="F839">
        <v>622</v>
      </c>
      <c r="G839">
        <v>4110</v>
      </c>
      <c r="H839">
        <v>1727</v>
      </c>
      <c r="I839">
        <v>0.41028874999999998</v>
      </c>
      <c r="J839">
        <v>0.63527966499999999</v>
      </c>
      <c r="K839">
        <v>1477</v>
      </c>
      <c r="L839">
        <v>410</v>
      </c>
      <c r="M839" s="2">
        <v>1</v>
      </c>
      <c r="N839">
        <v>0.812943317</v>
      </c>
      <c r="O839">
        <v>0.93370936500000001</v>
      </c>
      <c r="P839" t="b">
        <v>0</v>
      </c>
      <c r="Q839">
        <v>0.35854456299999998</v>
      </c>
      <c r="R839" s="2">
        <v>1</v>
      </c>
      <c r="S839" s="2" t="str">
        <f t="shared" si="53"/>
        <v>Apr</v>
      </c>
      <c r="T839">
        <f t="shared" si="54"/>
        <v>2027</v>
      </c>
      <c r="U839" s="2" t="str">
        <f t="shared" si="55"/>
        <v>Q2</v>
      </c>
      <c r="V839" t="str">
        <f t="shared" si="56"/>
        <v>Completed</v>
      </c>
    </row>
    <row r="840" spans="1:22" x14ac:dyDescent="0.3">
      <c r="A840" s="2">
        <v>839</v>
      </c>
      <c r="B840" s="1">
        <v>46496</v>
      </c>
      <c r="C840" s="2" t="s">
        <v>5</v>
      </c>
      <c r="D840">
        <v>4115</v>
      </c>
      <c r="E840">
        <v>3706</v>
      </c>
      <c r="F840">
        <v>444</v>
      </c>
      <c r="G840">
        <v>3540</v>
      </c>
      <c r="H840">
        <v>3621</v>
      </c>
      <c r="I840">
        <v>0.46853191799999999</v>
      </c>
      <c r="J840">
        <v>1.8820120199999999</v>
      </c>
      <c r="K840">
        <v>2103</v>
      </c>
      <c r="L840">
        <v>641</v>
      </c>
      <c r="M840" s="2">
        <v>8</v>
      </c>
      <c r="N840">
        <v>1.8548922670000001</v>
      </c>
      <c r="O840">
        <v>0.844247988</v>
      </c>
      <c r="P840" t="b">
        <v>0</v>
      </c>
      <c r="Q840">
        <v>0.81950122599999997</v>
      </c>
      <c r="R840" s="2">
        <v>1</v>
      </c>
      <c r="S840" s="2" t="str">
        <f t="shared" si="53"/>
        <v>Apr</v>
      </c>
      <c r="T840">
        <f t="shared" si="54"/>
        <v>2027</v>
      </c>
      <c r="U840" s="2" t="str">
        <f t="shared" si="55"/>
        <v>Q2</v>
      </c>
      <c r="V840" t="str">
        <f t="shared" si="56"/>
        <v>Completed</v>
      </c>
    </row>
    <row r="841" spans="1:22" x14ac:dyDescent="0.3">
      <c r="A841" s="2">
        <v>840</v>
      </c>
      <c r="B841" s="1">
        <v>46497</v>
      </c>
      <c r="C841" s="2" t="s">
        <v>5</v>
      </c>
      <c r="D841">
        <v>4495</v>
      </c>
      <c r="E841">
        <v>908</v>
      </c>
      <c r="F841">
        <v>2031</v>
      </c>
      <c r="G841">
        <v>1823</v>
      </c>
      <c r="H841">
        <v>808</v>
      </c>
      <c r="I841">
        <v>0.27232334699999999</v>
      </c>
      <c r="J841">
        <v>2.199677281</v>
      </c>
      <c r="K841">
        <v>1662</v>
      </c>
      <c r="L841">
        <v>1092</v>
      </c>
      <c r="M841" s="2">
        <v>6</v>
      </c>
      <c r="N841">
        <v>0.758013257</v>
      </c>
      <c r="O841">
        <v>0.95162354400000004</v>
      </c>
      <c r="P841" t="b">
        <v>0</v>
      </c>
      <c r="Q841">
        <v>0.89717906800000002</v>
      </c>
      <c r="R841" s="2">
        <v>1</v>
      </c>
      <c r="S841" s="2" t="str">
        <f t="shared" si="53"/>
        <v>Apr</v>
      </c>
      <c r="T841">
        <f t="shared" si="54"/>
        <v>2027</v>
      </c>
      <c r="U841" s="2" t="str">
        <f t="shared" si="55"/>
        <v>Q2</v>
      </c>
      <c r="V841" t="str">
        <f t="shared" si="56"/>
        <v>Completed</v>
      </c>
    </row>
    <row r="842" spans="1:22" x14ac:dyDescent="0.3">
      <c r="A842" s="2">
        <v>841</v>
      </c>
      <c r="B842" s="1">
        <v>46498</v>
      </c>
      <c r="C842" s="2" t="s">
        <v>16</v>
      </c>
      <c r="D842">
        <v>4676</v>
      </c>
      <c r="E842">
        <v>2110</v>
      </c>
      <c r="F842">
        <v>3885</v>
      </c>
      <c r="G842">
        <v>912</v>
      </c>
      <c r="H842">
        <v>3606</v>
      </c>
      <c r="I842">
        <v>0.389771335</v>
      </c>
      <c r="J842">
        <v>2.5111897409999999</v>
      </c>
      <c r="K842">
        <v>4518</v>
      </c>
      <c r="L842">
        <v>422</v>
      </c>
      <c r="M842" s="2">
        <v>3</v>
      </c>
      <c r="N842">
        <v>0.600425757</v>
      </c>
      <c r="O842">
        <v>0.81083231200000006</v>
      </c>
      <c r="P842" t="b">
        <v>0</v>
      </c>
      <c r="Q842">
        <v>0.93417824999999999</v>
      </c>
      <c r="R842" s="2">
        <v>1</v>
      </c>
      <c r="S842" s="2" t="str">
        <f t="shared" si="53"/>
        <v>Apr</v>
      </c>
      <c r="T842">
        <f t="shared" si="54"/>
        <v>2027</v>
      </c>
      <c r="U842" s="2" t="str">
        <f t="shared" si="55"/>
        <v>Q2</v>
      </c>
      <c r="V842" t="str">
        <f t="shared" si="56"/>
        <v>Completed</v>
      </c>
    </row>
    <row r="843" spans="1:22" x14ac:dyDescent="0.3">
      <c r="A843" s="2">
        <v>842</v>
      </c>
      <c r="B843" s="1">
        <v>46499</v>
      </c>
      <c r="C843" s="2" t="s">
        <v>18</v>
      </c>
      <c r="D843">
        <v>702</v>
      </c>
      <c r="E843">
        <v>1035</v>
      </c>
      <c r="F843">
        <v>1257</v>
      </c>
      <c r="G843">
        <v>1309</v>
      </c>
      <c r="H843">
        <v>2265</v>
      </c>
      <c r="I843">
        <v>0.61700655999999998</v>
      </c>
      <c r="J843">
        <v>2.1528157430000001</v>
      </c>
      <c r="K843">
        <v>343</v>
      </c>
      <c r="L843">
        <v>355</v>
      </c>
      <c r="M843" s="2">
        <v>8</v>
      </c>
      <c r="N843">
        <v>1.227090016</v>
      </c>
      <c r="O843">
        <v>0.83163927100000001</v>
      </c>
      <c r="P843" t="b">
        <v>0</v>
      </c>
      <c r="Q843">
        <v>0.121831562</v>
      </c>
      <c r="R843" s="2">
        <v>1</v>
      </c>
      <c r="S843" s="2" t="str">
        <f t="shared" si="53"/>
        <v>Apr</v>
      </c>
      <c r="T843">
        <f t="shared" si="54"/>
        <v>2027</v>
      </c>
      <c r="U843" s="2" t="str">
        <f t="shared" si="55"/>
        <v>Q2</v>
      </c>
      <c r="V843" t="str">
        <f t="shared" si="56"/>
        <v>Completed</v>
      </c>
    </row>
    <row r="844" spans="1:22" x14ac:dyDescent="0.3">
      <c r="A844" s="2">
        <v>843</v>
      </c>
      <c r="B844" s="1">
        <v>46500</v>
      </c>
      <c r="C844" s="2" t="s">
        <v>18</v>
      </c>
      <c r="D844">
        <v>1983</v>
      </c>
      <c r="E844">
        <v>575</v>
      </c>
      <c r="F844">
        <v>2593</v>
      </c>
      <c r="G844">
        <v>3591</v>
      </c>
      <c r="H844">
        <v>2443</v>
      </c>
      <c r="I844">
        <v>0.41807851299999998</v>
      </c>
      <c r="J844">
        <v>1.741868</v>
      </c>
      <c r="K844">
        <v>4441</v>
      </c>
      <c r="L844">
        <v>1632</v>
      </c>
      <c r="M844" s="2">
        <v>2</v>
      </c>
      <c r="N844">
        <v>1.145965573</v>
      </c>
      <c r="O844">
        <v>0.85809873000000003</v>
      </c>
      <c r="P844" t="b">
        <v>0</v>
      </c>
      <c r="Q844">
        <v>0.38368765300000002</v>
      </c>
      <c r="R844" s="2">
        <v>1</v>
      </c>
      <c r="S844" s="2" t="str">
        <f t="shared" si="53"/>
        <v>Apr</v>
      </c>
      <c r="T844">
        <f t="shared" si="54"/>
        <v>2027</v>
      </c>
      <c r="U844" s="2" t="str">
        <f t="shared" si="55"/>
        <v>Q2</v>
      </c>
      <c r="V844" t="str">
        <f t="shared" si="56"/>
        <v>Completed</v>
      </c>
    </row>
    <row r="845" spans="1:22" x14ac:dyDescent="0.3">
      <c r="A845" s="2">
        <v>844</v>
      </c>
      <c r="B845" s="1">
        <v>46501</v>
      </c>
      <c r="C845" s="2" t="s">
        <v>17</v>
      </c>
      <c r="D845">
        <v>2971</v>
      </c>
      <c r="E845">
        <v>1785</v>
      </c>
      <c r="F845">
        <v>2139</v>
      </c>
      <c r="G845">
        <v>861</v>
      </c>
      <c r="H845">
        <v>2811</v>
      </c>
      <c r="I845">
        <v>0.30516938599999999</v>
      </c>
      <c r="J845">
        <v>0.75944020099999998</v>
      </c>
      <c r="K845">
        <v>236</v>
      </c>
      <c r="L845">
        <v>3083</v>
      </c>
      <c r="M845" s="2">
        <v>2</v>
      </c>
      <c r="N845">
        <v>1.170109093</v>
      </c>
      <c r="O845">
        <v>0.89075773499999999</v>
      </c>
      <c r="P845" t="b">
        <v>0</v>
      </c>
      <c r="Q845">
        <v>0.58565004099999995</v>
      </c>
      <c r="R845" s="2">
        <v>1</v>
      </c>
      <c r="S845" s="2" t="str">
        <f t="shared" si="53"/>
        <v>Apr</v>
      </c>
      <c r="T845">
        <f t="shared" si="54"/>
        <v>2027</v>
      </c>
      <c r="U845" s="2" t="str">
        <f t="shared" si="55"/>
        <v>Q2</v>
      </c>
      <c r="V845" t="str">
        <f t="shared" si="56"/>
        <v>Completed</v>
      </c>
    </row>
    <row r="846" spans="1:22" x14ac:dyDescent="0.3">
      <c r="A846" s="2">
        <v>845</v>
      </c>
      <c r="B846" s="1">
        <v>46502</v>
      </c>
      <c r="C846" s="2" t="s">
        <v>5</v>
      </c>
      <c r="D846">
        <v>348</v>
      </c>
      <c r="E846">
        <v>3849</v>
      </c>
      <c r="F846">
        <v>623</v>
      </c>
      <c r="G846">
        <v>4359</v>
      </c>
      <c r="H846">
        <v>511</v>
      </c>
      <c r="I846">
        <v>0.59877909799999995</v>
      </c>
      <c r="J846">
        <v>1.3235611190000001</v>
      </c>
      <c r="K846">
        <v>1612</v>
      </c>
      <c r="L846">
        <v>1403</v>
      </c>
      <c r="M846" s="2">
        <v>9</v>
      </c>
      <c r="N846">
        <v>1.114899066</v>
      </c>
      <c r="O846">
        <v>0.82213767299999996</v>
      </c>
      <c r="P846" t="b">
        <v>0</v>
      </c>
      <c r="Q846">
        <v>4.9468520000000002E-2</v>
      </c>
      <c r="R846" s="2">
        <v>1</v>
      </c>
      <c r="S846" s="2" t="str">
        <f t="shared" si="53"/>
        <v>Apr</v>
      </c>
      <c r="T846">
        <f t="shared" si="54"/>
        <v>2027</v>
      </c>
      <c r="U846" s="2" t="str">
        <f t="shared" si="55"/>
        <v>Q2</v>
      </c>
      <c r="V846" t="str">
        <f t="shared" si="56"/>
        <v>Completed</v>
      </c>
    </row>
    <row r="847" spans="1:22" x14ac:dyDescent="0.3">
      <c r="A847" s="2">
        <v>846</v>
      </c>
      <c r="B847" s="1">
        <v>46503</v>
      </c>
      <c r="C847" s="2" t="s">
        <v>16</v>
      </c>
      <c r="D847">
        <v>577</v>
      </c>
      <c r="E847">
        <v>2486</v>
      </c>
      <c r="F847">
        <v>3191</v>
      </c>
      <c r="G847">
        <v>589</v>
      </c>
      <c r="H847">
        <v>1821</v>
      </c>
      <c r="I847">
        <v>0.77354454900000003</v>
      </c>
      <c r="J847">
        <v>0.712339202</v>
      </c>
      <c r="K847">
        <v>2064</v>
      </c>
      <c r="L847">
        <v>3853</v>
      </c>
      <c r="M847" s="2">
        <v>8</v>
      </c>
      <c r="N847">
        <v>0.98775516299999999</v>
      </c>
      <c r="O847">
        <v>0.86812618399999997</v>
      </c>
      <c r="P847" t="b">
        <v>0</v>
      </c>
      <c r="Q847">
        <v>9.627964E-2</v>
      </c>
      <c r="R847" s="2">
        <v>1</v>
      </c>
      <c r="S847" s="2" t="str">
        <f t="shared" si="53"/>
        <v>Apr</v>
      </c>
      <c r="T847">
        <f t="shared" si="54"/>
        <v>2027</v>
      </c>
      <c r="U847" s="2" t="str">
        <f t="shared" si="55"/>
        <v>Q2</v>
      </c>
      <c r="V847" t="str">
        <f t="shared" si="56"/>
        <v>Completed</v>
      </c>
    </row>
    <row r="848" spans="1:22" x14ac:dyDescent="0.3">
      <c r="A848" s="2">
        <v>847</v>
      </c>
      <c r="B848" s="1">
        <v>46504</v>
      </c>
      <c r="C848" s="2" t="s">
        <v>18</v>
      </c>
      <c r="D848">
        <v>3698</v>
      </c>
      <c r="E848">
        <v>4204</v>
      </c>
      <c r="F848">
        <v>3506</v>
      </c>
      <c r="G848">
        <v>1680</v>
      </c>
      <c r="H848">
        <v>3548</v>
      </c>
      <c r="I848">
        <v>0.52180522399999996</v>
      </c>
      <c r="J848">
        <v>2.1775006389999998</v>
      </c>
      <c r="K848">
        <v>1064</v>
      </c>
      <c r="L848">
        <v>917</v>
      </c>
      <c r="M848" s="2">
        <v>8</v>
      </c>
      <c r="N848">
        <v>1.382572659</v>
      </c>
      <c r="O848">
        <v>0.92767381999999998</v>
      </c>
      <c r="P848" t="b">
        <v>0</v>
      </c>
      <c r="Q848">
        <v>0.73426001600000002</v>
      </c>
      <c r="R848" s="2">
        <v>0</v>
      </c>
      <c r="S848" s="2" t="str">
        <f t="shared" si="53"/>
        <v>Apr</v>
      </c>
      <c r="T848">
        <f t="shared" si="54"/>
        <v>2027</v>
      </c>
      <c r="U848" s="2" t="str">
        <f t="shared" si="55"/>
        <v>Q2</v>
      </c>
      <c r="V848" t="str">
        <f t="shared" si="56"/>
        <v>Completed</v>
      </c>
    </row>
    <row r="849" spans="1:22" x14ac:dyDescent="0.3">
      <c r="A849" s="2">
        <v>848</v>
      </c>
      <c r="B849" s="1">
        <v>46505</v>
      </c>
      <c r="C849" s="2" t="s">
        <v>17</v>
      </c>
      <c r="D849">
        <v>1063</v>
      </c>
      <c r="E849">
        <v>4460</v>
      </c>
      <c r="F849">
        <v>986</v>
      </c>
      <c r="G849">
        <v>3094</v>
      </c>
      <c r="H849">
        <v>2753</v>
      </c>
      <c r="I849">
        <v>0.59922827899999997</v>
      </c>
      <c r="J849">
        <v>2.0781501279999999</v>
      </c>
      <c r="K849">
        <v>3701</v>
      </c>
      <c r="L849">
        <v>512</v>
      </c>
      <c r="M849" s="2">
        <v>1</v>
      </c>
      <c r="N849">
        <v>1.623152725</v>
      </c>
      <c r="O849">
        <v>0.88308130399999996</v>
      </c>
      <c r="P849" t="b">
        <v>0</v>
      </c>
      <c r="Q849">
        <v>0.195625511</v>
      </c>
      <c r="R849" s="2">
        <v>1</v>
      </c>
      <c r="S849" s="2" t="str">
        <f t="shared" si="53"/>
        <v>Apr</v>
      </c>
      <c r="T849">
        <f t="shared" si="54"/>
        <v>2027</v>
      </c>
      <c r="U849" s="2" t="str">
        <f t="shared" si="55"/>
        <v>Q2</v>
      </c>
      <c r="V849" t="str">
        <f t="shared" si="56"/>
        <v>Failed</v>
      </c>
    </row>
    <row r="850" spans="1:22" x14ac:dyDescent="0.3">
      <c r="A850" s="2">
        <v>849</v>
      </c>
      <c r="B850" s="1">
        <v>46506</v>
      </c>
      <c r="C850" s="2" t="s">
        <v>18</v>
      </c>
      <c r="D850">
        <v>2147</v>
      </c>
      <c r="E850">
        <v>3980</v>
      </c>
      <c r="F850">
        <v>1414</v>
      </c>
      <c r="G850">
        <v>1525</v>
      </c>
      <c r="H850">
        <v>2604</v>
      </c>
      <c r="I850">
        <v>0.33653794500000001</v>
      </c>
      <c r="J850">
        <v>2.0157390629999998</v>
      </c>
      <c r="K850">
        <v>388</v>
      </c>
      <c r="L850">
        <v>1437</v>
      </c>
      <c r="M850" s="2">
        <v>6</v>
      </c>
      <c r="N850">
        <v>0.63405471300000005</v>
      </c>
      <c r="O850">
        <v>0.98995351399999998</v>
      </c>
      <c r="P850" t="b">
        <v>0</v>
      </c>
      <c r="Q850">
        <v>0.41721177399999998</v>
      </c>
      <c r="R850" s="2">
        <v>1</v>
      </c>
      <c r="S850" s="2" t="str">
        <f t="shared" si="53"/>
        <v>Apr</v>
      </c>
      <c r="T850">
        <f t="shared" si="54"/>
        <v>2027</v>
      </c>
      <c r="U850" s="2" t="str">
        <f t="shared" si="55"/>
        <v>Q2</v>
      </c>
      <c r="V850" t="str">
        <f t="shared" si="56"/>
        <v>Completed</v>
      </c>
    </row>
    <row r="851" spans="1:22" x14ac:dyDescent="0.3">
      <c r="A851" s="2">
        <v>850</v>
      </c>
      <c r="B851" s="1">
        <v>46507</v>
      </c>
      <c r="C851" s="2" t="s">
        <v>18</v>
      </c>
      <c r="D851">
        <v>2378</v>
      </c>
      <c r="E851">
        <v>2333</v>
      </c>
      <c r="F851">
        <v>2884</v>
      </c>
      <c r="G851">
        <v>532</v>
      </c>
      <c r="H851">
        <v>567</v>
      </c>
      <c r="I851">
        <v>0.28042444100000002</v>
      </c>
      <c r="J851">
        <v>2.9330609409999999</v>
      </c>
      <c r="K851">
        <v>285</v>
      </c>
      <c r="L851">
        <v>3991</v>
      </c>
      <c r="M851" s="2">
        <v>8</v>
      </c>
      <c r="N851">
        <v>1.3337063870000001</v>
      </c>
      <c r="O851">
        <v>0.912471794</v>
      </c>
      <c r="P851" t="b">
        <v>0</v>
      </c>
      <c r="Q851">
        <v>0.46443172500000002</v>
      </c>
      <c r="R851" s="2">
        <v>1</v>
      </c>
      <c r="S851" s="2" t="str">
        <f t="shared" si="53"/>
        <v>Apr</v>
      </c>
      <c r="T851">
        <f t="shared" si="54"/>
        <v>2027</v>
      </c>
      <c r="U851" s="2" t="str">
        <f t="shared" si="55"/>
        <v>Q2</v>
      </c>
      <c r="V851" t="str">
        <f t="shared" si="56"/>
        <v>Completed</v>
      </c>
    </row>
    <row r="852" spans="1:22" x14ac:dyDescent="0.3">
      <c r="A852" s="2">
        <v>851</v>
      </c>
      <c r="B852" s="1">
        <v>46508</v>
      </c>
      <c r="C852" s="2" t="s">
        <v>5</v>
      </c>
      <c r="D852">
        <v>4457</v>
      </c>
      <c r="E852">
        <v>3589</v>
      </c>
      <c r="F852">
        <v>3581</v>
      </c>
      <c r="G852">
        <v>3427</v>
      </c>
      <c r="H852">
        <v>331</v>
      </c>
      <c r="I852">
        <v>0.24834532000000001</v>
      </c>
      <c r="J852">
        <v>2.9479804839999999</v>
      </c>
      <c r="K852">
        <v>1836</v>
      </c>
      <c r="L852">
        <v>2872</v>
      </c>
      <c r="M852" s="2">
        <v>5</v>
      </c>
      <c r="N852">
        <v>1.067416044</v>
      </c>
      <c r="O852">
        <v>0.87270096699999999</v>
      </c>
      <c r="P852" t="b">
        <v>0</v>
      </c>
      <c r="Q852">
        <v>0.88941128400000002</v>
      </c>
      <c r="R852" s="2">
        <v>1</v>
      </c>
      <c r="S852" s="2" t="str">
        <f t="shared" si="53"/>
        <v>May</v>
      </c>
      <c r="T852">
        <f t="shared" si="54"/>
        <v>2027</v>
      </c>
      <c r="U852" s="2" t="str">
        <f t="shared" si="55"/>
        <v>Q2</v>
      </c>
      <c r="V852" t="str">
        <f t="shared" si="56"/>
        <v>Completed</v>
      </c>
    </row>
    <row r="853" spans="1:22" x14ac:dyDescent="0.3">
      <c r="A853" s="2">
        <v>852</v>
      </c>
      <c r="B853" s="1">
        <v>46509</v>
      </c>
      <c r="C853" s="2" t="s">
        <v>17</v>
      </c>
      <c r="D853">
        <v>4337</v>
      </c>
      <c r="E853">
        <v>2413</v>
      </c>
      <c r="F853">
        <v>1129</v>
      </c>
      <c r="G853">
        <v>2177</v>
      </c>
      <c r="H853">
        <v>3242</v>
      </c>
      <c r="I853">
        <v>0.342727962</v>
      </c>
      <c r="J853">
        <v>1.035468778</v>
      </c>
      <c r="K853">
        <v>2210</v>
      </c>
      <c r="L853">
        <v>2692</v>
      </c>
      <c r="M853" s="2">
        <v>3</v>
      </c>
      <c r="N853">
        <v>0.61685391300000003</v>
      </c>
      <c r="O853">
        <v>0.80861484800000005</v>
      </c>
      <c r="P853" t="b">
        <v>0</v>
      </c>
      <c r="Q853">
        <v>0.86488143900000003</v>
      </c>
      <c r="R853" s="2">
        <v>1</v>
      </c>
      <c r="S853" s="2" t="str">
        <f t="shared" si="53"/>
        <v>May</v>
      </c>
      <c r="T853">
        <f t="shared" si="54"/>
        <v>2027</v>
      </c>
      <c r="U853" s="2" t="str">
        <f t="shared" si="55"/>
        <v>Q2</v>
      </c>
      <c r="V853" t="str">
        <f t="shared" si="56"/>
        <v>Completed</v>
      </c>
    </row>
    <row r="854" spans="1:22" x14ac:dyDescent="0.3">
      <c r="A854" s="2">
        <v>853</v>
      </c>
      <c r="B854" s="1">
        <v>46510</v>
      </c>
      <c r="C854" s="2" t="s">
        <v>16</v>
      </c>
      <c r="D854">
        <v>224</v>
      </c>
      <c r="E854">
        <v>4045</v>
      </c>
      <c r="F854">
        <v>2204</v>
      </c>
      <c r="G854">
        <v>562</v>
      </c>
      <c r="H854">
        <v>2108</v>
      </c>
      <c r="I854">
        <v>0.51310131199999998</v>
      </c>
      <c r="J854">
        <v>1.2418383159999999</v>
      </c>
      <c r="K854">
        <v>4830</v>
      </c>
      <c r="L854">
        <v>857</v>
      </c>
      <c r="M854" s="2">
        <v>7</v>
      </c>
      <c r="N854">
        <v>1.4388764089999999</v>
      </c>
      <c r="O854">
        <v>0.97426532200000004</v>
      </c>
      <c r="P854" t="b">
        <v>0</v>
      </c>
      <c r="Q854">
        <v>2.4121014E-2</v>
      </c>
      <c r="R854" s="2">
        <v>0</v>
      </c>
      <c r="S854" s="2" t="str">
        <f t="shared" si="53"/>
        <v>May</v>
      </c>
      <c r="T854">
        <f t="shared" si="54"/>
        <v>2027</v>
      </c>
      <c r="U854" s="2" t="str">
        <f t="shared" si="55"/>
        <v>Q2</v>
      </c>
      <c r="V854" t="str">
        <f t="shared" si="56"/>
        <v>Completed</v>
      </c>
    </row>
    <row r="855" spans="1:22" x14ac:dyDescent="0.3">
      <c r="A855" s="2">
        <v>854</v>
      </c>
      <c r="B855" s="1">
        <v>46511</v>
      </c>
      <c r="C855" s="2" t="s">
        <v>16</v>
      </c>
      <c r="D855">
        <v>4998</v>
      </c>
      <c r="E855">
        <v>594</v>
      </c>
      <c r="F855">
        <v>2158</v>
      </c>
      <c r="G855">
        <v>4751</v>
      </c>
      <c r="H855">
        <v>1573</v>
      </c>
      <c r="I855">
        <v>0.34185468400000002</v>
      </c>
      <c r="J855">
        <v>1.8805962620000001</v>
      </c>
      <c r="K855">
        <v>4303</v>
      </c>
      <c r="L855">
        <v>3130</v>
      </c>
      <c r="M855" s="2">
        <v>3</v>
      </c>
      <c r="N855">
        <v>1.603902967</v>
      </c>
      <c r="O855">
        <v>0.92131242800000002</v>
      </c>
      <c r="P855" t="b">
        <v>0</v>
      </c>
      <c r="Q855">
        <v>1</v>
      </c>
      <c r="R855" s="2">
        <v>1</v>
      </c>
      <c r="S855" s="2" t="str">
        <f t="shared" si="53"/>
        <v>May</v>
      </c>
      <c r="T855">
        <f t="shared" si="54"/>
        <v>2027</v>
      </c>
      <c r="U855" s="2" t="str">
        <f t="shared" si="55"/>
        <v>Q2</v>
      </c>
      <c r="V855" t="str">
        <f t="shared" si="56"/>
        <v>Failed</v>
      </c>
    </row>
    <row r="856" spans="1:22" x14ac:dyDescent="0.3">
      <c r="A856" s="2">
        <v>855</v>
      </c>
      <c r="B856" s="1">
        <v>46512</v>
      </c>
      <c r="C856" s="2" t="s">
        <v>18</v>
      </c>
      <c r="D856">
        <v>2741</v>
      </c>
      <c r="E856">
        <v>1488</v>
      </c>
      <c r="F856">
        <v>2775</v>
      </c>
      <c r="G856">
        <v>2043</v>
      </c>
      <c r="H856">
        <v>2766</v>
      </c>
      <c r="I856">
        <v>0.57861868800000005</v>
      </c>
      <c r="J856">
        <v>1.553987155</v>
      </c>
      <c r="K856">
        <v>3251</v>
      </c>
      <c r="L856">
        <v>3007</v>
      </c>
      <c r="M856" s="2">
        <v>7</v>
      </c>
      <c r="N856">
        <v>1.023107993</v>
      </c>
      <c r="O856">
        <v>0.97637346000000003</v>
      </c>
      <c r="P856" t="b">
        <v>0</v>
      </c>
      <c r="Q856">
        <v>0.53863450499999999</v>
      </c>
      <c r="R856" s="2">
        <v>1</v>
      </c>
      <c r="S856" s="2" t="str">
        <f t="shared" si="53"/>
        <v>May</v>
      </c>
      <c r="T856">
        <f t="shared" si="54"/>
        <v>2027</v>
      </c>
      <c r="U856" s="2" t="str">
        <f t="shared" si="55"/>
        <v>Q2</v>
      </c>
      <c r="V856" t="str">
        <f t="shared" si="56"/>
        <v>Completed</v>
      </c>
    </row>
    <row r="857" spans="1:22" x14ac:dyDescent="0.3">
      <c r="A857" s="2">
        <v>856</v>
      </c>
      <c r="B857" s="1">
        <v>46513</v>
      </c>
      <c r="C857" s="2" t="s">
        <v>5</v>
      </c>
      <c r="D857">
        <v>2654</v>
      </c>
      <c r="E857">
        <v>2355</v>
      </c>
      <c r="F857">
        <v>2151</v>
      </c>
      <c r="G857">
        <v>1307</v>
      </c>
      <c r="H857">
        <v>1815</v>
      </c>
      <c r="I857">
        <v>0.78787260199999998</v>
      </c>
      <c r="J857">
        <v>0.58675875600000005</v>
      </c>
      <c r="K857">
        <v>1855</v>
      </c>
      <c r="L857">
        <v>1353</v>
      </c>
      <c r="M857" s="2">
        <v>7</v>
      </c>
      <c r="N857">
        <v>0.82377604199999999</v>
      </c>
      <c r="O857">
        <v>0.93154353400000001</v>
      </c>
      <c r="P857" t="b">
        <v>0</v>
      </c>
      <c r="Q857">
        <v>0.52085036799999995</v>
      </c>
      <c r="R857" s="2">
        <v>0</v>
      </c>
      <c r="S857" s="2" t="str">
        <f t="shared" si="53"/>
        <v>May</v>
      </c>
      <c r="T857">
        <f t="shared" si="54"/>
        <v>2027</v>
      </c>
      <c r="U857" s="2" t="str">
        <f t="shared" si="55"/>
        <v>Q2</v>
      </c>
      <c r="V857" t="str">
        <f t="shared" si="56"/>
        <v>Completed</v>
      </c>
    </row>
    <row r="858" spans="1:22" x14ac:dyDescent="0.3">
      <c r="A858" s="2">
        <v>857</v>
      </c>
      <c r="B858" s="1">
        <v>46514</v>
      </c>
      <c r="C858" s="2" t="s">
        <v>18</v>
      </c>
      <c r="D858">
        <v>2232</v>
      </c>
      <c r="E858">
        <v>1260</v>
      </c>
      <c r="F858">
        <v>1832</v>
      </c>
      <c r="G858">
        <v>1054</v>
      </c>
      <c r="H858">
        <v>677</v>
      </c>
      <c r="I858">
        <v>0.231304816</v>
      </c>
      <c r="J858">
        <v>1.2561620529999999</v>
      </c>
      <c r="K858">
        <v>4007</v>
      </c>
      <c r="L858">
        <v>1739</v>
      </c>
      <c r="M858" s="2">
        <v>5</v>
      </c>
      <c r="N858">
        <v>1.0597200490000001</v>
      </c>
      <c r="O858">
        <v>0.93431925800000004</v>
      </c>
      <c r="P858" t="b">
        <v>0</v>
      </c>
      <c r="Q858">
        <v>0.43458708099999999</v>
      </c>
      <c r="R858" s="2">
        <v>1</v>
      </c>
      <c r="S858" s="2" t="str">
        <f t="shared" si="53"/>
        <v>May</v>
      </c>
      <c r="T858">
        <f t="shared" si="54"/>
        <v>2027</v>
      </c>
      <c r="U858" s="2" t="str">
        <f t="shared" si="55"/>
        <v>Q2</v>
      </c>
      <c r="V858" t="str">
        <f t="shared" si="56"/>
        <v>Failed</v>
      </c>
    </row>
    <row r="859" spans="1:22" x14ac:dyDescent="0.3">
      <c r="A859" s="2">
        <v>858</v>
      </c>
      <c r="B859" s="1">
        <v>46515</v>
      </c>
      <c r="C859" s="2" t="s">
        <v>17</v>
      </c>
      <c r="D859">
        <v>2706</v>
      </c>
      <c r="E859">
        <v>3353</v>
      </c>
      <c r="F859">
        <v>456</v>
      </c>
      <c r="G859">
        <v>2440</v>
      </c>
      <c r="H859">
        <v>980</v>
      </c>
      <c r="I859">
        <v>0.57938870499999995</v>
      </c>
      <c r="J859">
        <v>2.6252964090000002</v>
      </c>
      <c r="K859">
        <v>2027</v>
      </c>
      <c r="L859">
        <v>1105</v>
      </c>
      <c r="M859" s="2">
        <v>4</v>
      </c>
      <c r="N859">
        <v>1.998059378</v>
      </c>
      <c r="O859">
        <v>0.84388442500000005</v>
      </c>
      <c r="P859" t="b">
        <v>0</v>
      </c>
      <c r="Q859">
        <v>0.531479967</v>
      </c>
      <c r="R859" s="2">
        <v>1</v>
      </c>
      <c r="S859" s="2" t="str">
        <f t="shared" si="53"/>
        <v>May</v>
      </c>
      <c r="T859">
        <f t="shared" si="54"/>
        <v>2027</v>
      </c>
      <c r="U859" s="2" t="str">
        <f t="shared" si="55"/>
        <v>Q2</v>
      </c>
      <c r="V859" t="str">
        <f t="shared" si="56"/>
        <v>Completed</v>
      </c>
    </row>
    <row r="860" spans="1:22" x14ac:dyDescent="0.3">
      <c r="A860" s="2">
        <v>859</v>
      </c>
      <c r="B860" s="1">
        <v>46516</v>
      </c>
      <c r="C860" s="2" t="s">
        <v>16</v>
      </c>
      <c r="D860">
        <v>1462</v>
      </c>
      <c r="E860">
        <v>3366</v>
      </c>
      <c r="F860">
        <v>3190</v>
      </c>
      <c r="G860">
        <v>1304</v>
      </c>
      <c r="H860">
        <v>2762</v>
      </c>
      <c r="I860">
        <v>0.40161802099999999</v>
      </c>
      <c r="J860">
        <v>1.0485442309999999</v>
      </c>
      <c r="K860">
        <v>1521</v>
      </c>
      <c r="L860">
        <v>3886</v>
      </c>
      <c r="M860" s="2">
        <v>4</v>
      </c>
      <c r="N860">
        <v>1.4973100210000001</v>
      </c>
      <c r="O860">
        <v>0.93869100599999999</v>
      </c>
      <c r="P860" t="b">
        <v>0</v>
      </c>
      <c r="Q860">
        <v>0.277187244</v>
      </c>
      <c r="R860" s="2">
        <v>1</v>
      </c>
      <c r="S860" s="2" t="str">
        <f t="shared" si="53"/>
        <v>May</v>
      </c>
      <c r="T860">
        <f t="shared" si="54"/>
        <v>2027</v>
      </c>
      <c r="U860" s="2" t="str">
        <f t="shared" si="55"/>
        <v>Q2</v>
      </c>
      <c r="V860" t="str">
        <f t="shared" si="56"/>
        <v>Completed</v>
      </c>
    </row>
    <row r="861" spans="1:22" x14ac:dyDescent="0.3">
      <c r="A861" s="2">
        <v>860</v>
      </c>
      <c r="B861" s="1">
        <v>46517</v>
      </c>
      <c r="C861" s="2" t="s">
        <v>5</v>
      </c>
      <c r="D861">
        <v>3314</v>
      </c>
      <c r="E861">
        <v>2741</v>
      </c>
      <c r="F861">
        <v>2365</v>
      </c>
      <c r="G861">
        <v>4704</v>
      </c>
      <c r="H861">
        <v>3975</v>
      </c>
      <c r="I861">
        <v>0.32683309900000002</v>
      </c>
      <c r="J861">
        <v>0.60785173599999998</v>
      </c>
      <c r="K861">
        <v>622</v>
      </c>
      <c r="L861">
        <v>2147</v>
      </c>
      <c r="M861" s="2">
        <v>5</v>
      </c>
      <c r="N861">
        <v>1.0659714010000001</v>
      </c>
      <c r="O861">
        <v>0.93622289999999997</v>
      </c>
      <c r="P861" t="b">
        <v>0</v>
      </c>
      <c r="Q861">
        <v>0.65576451300000005</v>
      </c>
      <c r="R861" s="2">
        <v>1</v>
      </c>
      <c r="S861" s="2" t="str">
        <f t="shared" si="53"/>
        <v>May</v>
      </c>
      <c r="T861">
        <f t="shared" si="54"/>
        <v>2027</v>
      </c>
      <c r="U861" s="2" t="str">
        <f t="shared" si="55"/>
        <v>Q2</v>
      </c>
      <c r="V861" t="str">
        <f t="shared" si="56"/>
        <v>Completed</v>
      </c>
    </row>
    <row r="862" spans="1:22" x14ac:dyDescent="0.3">
      <c r="A862" s="2">
        <v>861</v>
      </c>
      <c r="B862" s="1">
        <v>46518</v>
      </c>
      <c r="C862" s="2" t="s">
        <v>17</v>
      </c>
      <c r="D862">
        <v>4160</v>
      </c>
      <c r="E862">
        <v>3870</v>
      </c>
      <c r="F862">
        <v>1664</v>
      </c>
      <c r="G862">
        <v>2443</v>
      </c>
      <c r="H862">
        <v>899</v>
      </c>
      <c r="I862">
        <v>0.23924336099999999</v>
      </c>
      <c r="J862">
        <v>2.6425556650000002</v>
      </c>
      <c r="K862">
        <v>3398</v>
      </c>
      <c r="L862">
        <v>2750</v>
      </c>
      <c r="M862" s="2">
        <v>9</v>
      </c>
      <c r="N862">
        <v>1.247395222</v>
      </c>
      <c r="O862">
        <v>0.89151314400000004</v>
      </c>
      <c r="P862" t="b">
        <v>0</v>
      </c>
      <c r="Q862">
        <v>0.82869991799999998</v>
      </c>
      <c r="R862" s="2">
        <v>1</v>
      </c>
      <c r="S862" s="2" t="str">
        <f t="shared" si="53"/>
        <v>May</v>
      </c>
      <c r="T862">
        <f t="shared" si="54"/>
        <v>2027</v>
      </c>
      <c r="U862" s="2" t="str">
        <f t="shared" si="55"/>
        <v>Q2</v>
      </c>
      <c r="V862" t="str">
        <f t="shared" si="56"/>
        <v>Completed</v>
      </c>
    </row>
    <row r="863" spans="1:22" x14ac:dyDescent="0.3">
      <c r="A863" s="2">
        <v>862</v>
      </c>
      <c r="B863" s="1">
        <v>46519</v>
      </c>
      <c r="C863" s="2" t="s">
        <v>5</v>
      </c>
      <c r="D863">
        <v>3269</v>
      </c>
      <c r="E863">
        <v>1038</v>
      </c>
      <c r="F863">
        <v>1500</v>
      </c>
      <c r="G863">
        <v>2360</v>
      </c>
      <c r="H863">
        <v>931</v>
      </c>
      <c r="I863">
        <v>0.47937763</v>
      </c>
      <c r="J863">
        <v>2.8494882100000001</v>
      </c>
      <c r="K863">
        <v>3112</v>
      </c>
      <c r="L863">
        <v>1335</v>
      </c>
      <c r="M863" s="2">
        <v>1</v>
      </c>
      <c r="N863">
        <v>0.90013914100000003</v>
      </c>
      <c r="O863">
        <v>0.863743445</v>
      </c>
      <c r="P863" t="b">
        <v>0</v>
      </c>
      <c r="Q863">
        <v>0.64656582200000001</v>
      </c>
      <c r="R863" s="2">
        <v>1</v>
      </c>
      <c r="S863" s="2" t="str">
        <f t="shared" si="53"/>
        <v>May</v>
      </c>
      <c r="T863">
        <f t="shared" si="54"/>
        <v>2027</v>
      </c>
      <c r="U863" s="2" t="str">
        <f t="shared" si="55"/>
        <v>Q2</v>
      </c>
      <c r="V863" t="str">
        <f t="shared" si="56"/>
        <v>Completed</v>
      </c>
    </row>
    <row r="864" spans="1:22" x14ac:dyDescent="0.3">
      <c r="A864" s="2">
        <v>863</v>
      </c>
      <c r="B864" s="1">
        <v>46520</v>
      </c>
      <c r="C864" s="2" t="s">
        <v>16</v>
      </c>
      <c r="D864">
        <v>4051</v>
      </c>
      <c r="E864">
        <v>1602</v>
      </c>
      <c r="F864">
        <v>1873</v>
      </c>
      <c r="G864">
        <v>4283</v>
      </c>
      <c r="H864">
        <v>158</v>
      </c>
      <c r="I864">
        <v>0.394775341</v>
      </c>
      <c r="J864">
        <v>1.3717516359999999</v>
      </c>
      <c r="K864">
        <v>3288</v>
      </c>
      <c r="L864">
        <v>412</v>
      </c>
      <c r="M864" s="2">
        <v>9</v>
      </c>
      <c r="N864">
        <v>1.5871987809999999</v>
      </c>
      <c r="O864">
        <v>0.866276147</v>
      </c>
      <c r="P864" t="b">
        <v>0</v>
      </c>
      <c r="Q864">
        <v>0.80641864299999999</v>
      </c>
      <c r="R864" s="2">
        <v>1</v>
      </c>
      <c r="S864" s="2" t="str">
        <f t="shared" si="53"/>
        <v>May</v>
      </c>
      <c r="T864">
        <f t="shared" si="54"/>
        <v>2027</v>
      </c>
      <c r="U864" s="2" t="str">
        <f t="shared" si="55"/>
        <v>Q2</v>
      </c>
      <c r="V864" t="str">
        <f t="shared" si="56"/>
        <v>Completed</v>
      </c>
    </row>
    <row r="865" spans="1:22" x14ac:dyDescent="0.3">
      <c r="A865" s="2">
        <v>864</v>
      </c>
      <c r="B865" s="1">
        <v>46521</v>
      </c>
      <c r="C865" s="2" t="s">
        <v>5</v>
      </c>
      <c r="D865">
        <v>672</v>
      </c>
      <c r="E865">
        <v>4264</v>
      </c>
      <c r="F865">
        <v>2017</v>
      </c>
      <c r="G865">
        <v>2901</v>
      </c>
      <c r="H865">
        <v>1094</v>
      </c>
      <c r="I865">
        <v>0.34421871799999998</v>
      </c>
      <c r="J865">
        <v>2.008970293</v>
      </c>
      <c r="K865">
        <v>3356</v>
      </c>
      <c r="L865">
        <v>3478</v>
      </c>
      <c r="M865" s="2">
        <v>9</v>
      </c>
      <c r="N865">
        <v>0.55743207400000006</v>
      </c>
      <c r="O865">
        <v>0.82153720299999999</v>
      </c>
      <c r="P865" t="b">
        <v>0</v>
      </c>
      <c r="Q865">
        <v>0.115699101</v>
      </c>
      <c r="R865" s="2">
        <v>1</v>
      </c>
      <c r="S865" s="2" t="str">
        <f t="shared" si="53"/>
        <v>May</v>
      </c>
      <c r="T865">
        <f t="shared" si="54"/>
        <v>2027</v>
      </c>
      <c r="U865" s="2" t="str">
        <f t="shared" si="55"/>
        <v>Q2</v>
      </c>
      <c r="V865" t="str">
        <f t="shared" si="56"/>
        <v>Completed</v>
      </c>
    </row>
    <row r="866" spans="1:22" x14ac:dyDescent="0.3">
      <c r="A866" s="2">
        <v>865</v>
      </c>
      <c r="B866" s="1">
        <v>46522</v>
      </c>
      <c r="C866" s="2" t="s">
        <v>18</v>
      </c>
      <c r="D866">
        <v>4858</v>
      </c>
      <c r="E866">
        <v>2548</v>
      </c>
      <c r="F866">
        <v>2503</v>
      </c>
      <c r="G866">
        <v>2361</v>
      </c>
      <c r="H866">
        <v>3183</v>
      </c>
      <c r="I866">
        <v>0.34484566999999999</v>
      </c>
      <c r="J866">
        <v>2.208990666</v>
      </c>
      <c r="K866">
        <v>2194</v>
      </c>
      <c r="L866">
        <v>2175</v>
      </c>
      <c r="M866" s="2">
        <v>7</v>
      </c>
      <c r="N866">
        <v>0.71375372800000003</v>
      </c>
      <c r="O866">
        <v>0.83426468799999998</v>
      </c>
      <c r="P866" t="b">
        <v>0</v>
      </c>
      <c r="Q866">
        <v>0.97138184800000005</v>
      </c>
      <c r="R866" s="2">
        <v>1</v>
      </c>
      <c r="S866" s="2" t="str">
        <f t="shared" si="53"/>
        <v>May</v>
      </c>
      <c r="T866">
        <f t="shared" si="54"/>
        <v>2027</v>
      </c>
      <c r="U866" s="2" t="str">
        <f t="shared" si="55"/>
        <v>Q2</v>
      </c>
      <c r="V866" t="str">
        <f t="shared" si="56"/>
        <v>Completed</v>
      </c>
    </row>
    <row r="867" spans="1:22" x14ac:dyDescent="0.3">
      <c r="A867" s="2">
        <v>866</v>
      </c>
      <c r="B867" s="1">
        <v>46523</v>
      </c>
      <c r="C867" s="2" t="s">
        <v>16</v>
      </c>
      <c r="D867">
        <v>2352</v>
      </c>
      <c r="E867">
        <v>1076</v>
      </c>
      <c r="F867">
        <v>3658</v>
      </c>
      <c r="G867">
        <v>1246</v>
      </c>
      <c r="H867">
        <v>1769</v>
      </c>
      <c r="I867">
        <v>0.74016039099999997</v>
      </c>
      <c r="J867">
        <v>2.248463578</v>
      </c>
      <c r="K867">
        <v>4234</v>
      </c>
      <c r="L867">
        <v>2164</v>
      </c>
      <c r="M867" s="2">
        <v>2</v>
      </c>
      <c r="N867">
        <v>0.60136713900000005</v>
      </c>
      <c r="O867">
        <v>0.84371157100000005</v>
      </c>
      <c r="P867" t="b">
        <v>0</v>
      </c>
      <c r="Q867">
        <v>0.45911692599999998</v>
      </c>
      <c r="R867" s="2">
        <v>1</v>
      </c>
      <c r="S867" s="2" t="str">
        <f t="shared" si="53"/>
        <v>May</v>
      </c>
      <c r="T867">
        <f t="shared" si="54"/>
        <v>2027</v>
      </c>
      <c r="U867" s="2" t="str">
        <f t="shared" si="55"/>
        <v>Q2</v>
      </c>
      <c r="V867" t="str">
        <f t="shared" si="56"/>
        <v>Completed</v>
      </c>
    </row>
    <row r="868" spans="1:22" x14ac:dyDescent="0.3">
      <c r="A868" s="2">
        <v>867</v>
      </c>
      <c r="B868" s="1">
        <v>46524</v>
      </c>
      <c r="C868" s="2" t="s">
        <v>16</v>
      </c>
      <c r="D868">
        <v>3005</v>
      </c>
      <c r="E868">
        <v>3459</v>
      </c>
      <c r="F868">
        <v>2894</v>
      </c>
      <c r="G868">
        <v>2055</v>
      </c>
      <c r="H868">
        <v>3929</v>
      </c>
      <c r="I868">
        <v>0.48512275399999999</v>
      </c>
      <c r="J868">
        <v>1.7747281150000001</v>
      </c>
      <c r="K868">
        <v>3460</v>
      </c>
      <c r="L868">
        <v>931</v>
      </c>
      <c r="M868" s="2">
        <v>6</v>
      </c>
      <c r="N868">
        <v>0.82366378200000001</v>
      </c>
      <c r="O868">
        <v>0.86615506399999997</v>
      </c>
      <c r="P868" t="b">
        <v>0</v>
      </c>
      <c r="Q868">
        <v>0.59260016400000004</v>
      </c>
      <c r="R868" s="2">
        <v>1</v>
      </c>
      <c r="S868" s="2" t="str">
        <f t="shared" si="53"/>
        <v>May</v>
      </c>
      <c r="T868">
        <f t="shared" si="54"/>
        <v>2027</v>
      </c>
      <c r="U868" s="2" t="str">
        <f t="shared" si="55"/>
        <v>Q2</v>
      </c>
      <c r="V868" t="str">
        <f t="shared" si="56"/>
        <v>Completed</v>
      </c>
    </row>
    <row r="869" spans="1:22" x14ac:dyDescent="0.3">
      <c r="A869" s="2">
        <v>868</v>
      </c>
      <c r="B869" s="1">
        <v>46525</v>
      </c>
      <c r="C869" s="2" t="s">
        <v>16</v>
      </c>
      <c r="D869">
        <v>2322</v>
      </c>
      <c r="E869">
        <v>762</v>
      </c>
      <c r="F869">
        <v>1570</v>
      </c>
      <c r="G869">
        <v>1662</v>
      </c>
      <c r="H869">
        <v>3975</v>
      </c>
      <c r="I869">
        <v>0.58913945999999995</v>
      </c>
      <c r="J869">
        <v>0.66949857599999996</v>
      </c>
      <c r="K869">
        <v>4293</v>
      </c>
      <c r="L869">
        <v>3020</v>
      </c>
      <c r="M869" s="2">
        <v>3</v>
      </c>
      <c r="N869">
        <v>1.012527926</v>
      </c>
      <c r="O869">
        <v>0.94453839799999995</v>
      </c>
      <c r="P869" t="b">
        <v>0</v>
      </c>
      <c r="Q869">
        <v>0.45298446399999998</v>
      </c>
      <c r="R869" s="2">
        <v>1</v>
      </c>
      <c r="S869" s="2" t="str">
        <f t="shared" si="53"/>
        <v>May</v>
      </c>
      <c r="T869">
        <f t="shared" si="54"/>
        <v>2027</v>
      </c>
      <c r="U869" s="2" t="str">
        <f t="shared" si="55"/>
        <v>Q2</v>
      </c>
      <c r="V869" t="str">
        <f t="shared" si="56"/>
        <v>Completed</v>
      </c>
    </row>
    <row r="870" spans="1:22" x14ac:dyDescent="0.3">
      <c r="A870" s="2">
        <v>869</v>
      </c>
      <c r="B870" s="1">
        <v>46526</v>
      </c>
      <c r="C870" s="2" t="s">
        <v>18</v>
      </c>
      <c r="D870">
        <v>362</v>
      </c>
      <c r="E870">
        <v>1057</v>
      </c>
      <c r="F870">
        <v>600</v>
      </c>
      <c r="G870">
        <v>933</v>
      </c>
      <c r="H870">
        <v>1711</v>
      </c>
      <c r="I870">
        <v>0.74011371599999998</v>
      </c>
      <c r="J870">
        <v>1.1850287450000001</v>
      </c>
      <c r="K870">
        <v>3922</v>
      </c>
      <c r="L870">
        <v>3025</v>
      </c>
      <c r="M870" s="2">
        <v>1</v>
      </c>
      <c r="N870">
        <v>0.61712566700000004</v>
      </c>
      <c r="O870">
        <v>0.93464033099999999</v>
      </c>
      <c r="P870" t="b">
        <v>0</v>
      </c>
      <c r="Q870">
        <v>5.2330334999999999E-2</v>
      </c>
      <c r="R870" s="2">
        <v>1</v>
      </c>
      <c r="S870" s="2" t="str">
        <f t="shared" si="53"/>
        <v>May</v>
      </c>
      <c r="T870">
        <f t="shared" si="54"/>
        <v>2027</v>
      </c>
      <c r="U870" s="2" t="str">
        <f t="shared" si="55"/>
        <v>Q2</v>
      </c>
      <c r="V870" t="str">
        <f t="shared" si="56"/>
        <v>Completed</v>
      </c>
    </row>
    <row r="871" spans="1:22" x14ac:dyDescent="0.3">
      <c r="A871" s="2">
        <v>870</v>
      </c>
      <c r="B871" s="1">
        <v>46527</v>
      </c>
      <c r="C871" s="2" t="s">
        <v>17</v>
      </c>
      <c r="D871">
        <v>2089</v>
      </c>
      <c r="E871">
        <v>4155</v>
      </c>
      <c r="F871">
        <v>434</v>
      </c>
      <c r="G871">
        <v>748</v>
      </c>
      <c r="H871">
        <v>2191</v>
      </c>
      <c r="I871">
        <v>0.26630804299999999</v>
      </c>
      <c r="J871">
        <v>1.5942325820000001</v>
      </c>
      <c r="K871">
        <v>3197</v>
      </c>
      <c r="L871">
        <v>1210</v>
      </c>
      <c r="M871" s="2">
        <v>7</v>
      </c>
      <c r="N871">
        <v>1.232539748</v>
      </c>
      <c r="O871">
        <v>0.96302508899999995</v>
      </c>
      <c r="P871" t="b">
        <v>0</v>
      </c>
      <c r="Q871">
        <v>0.40535568300000002</v>
      </c>
      <c r="R871" s="2">
        <v>1</v>
      </c>
      <c r="S871" s="2" t="str">
        <f t="shared" si="53"/>
        <v>May</v>
      </c>
      <c r="T871">
        <f t="shared" si="54"/>
        <v>2027</v>
      </c>
      <c r="U871" s="2" t="str">
        <f t="shared" si="55"/>
        <v>Q2</v>
      </c>
      <c r="V871" t="str">
        <f t="shared" si="56"/>
        <v>Completed</v>
      </c>
    </row>
    <row r="872" spans="1:22" x14ac:dyDescent="0.3">
      <c r="A872" s="2">
        <v>871</v>
      </c>
      <c r="B872" s="1">
        <v>46528</v>
      </c>
      <c r="C872" s="2" t="s">
        <v>18</v>
      </c>
      <c r="D872">
        <v>4247</v>
      </c>
      <c r="E872">
        <v>2605</v>
      </c>
      <c r="F872">
        <v>1240</v>
      </c>
      <c r="G872">
        <v>3568</v>
      </c>
      <c r="H872">
        <v>2044</v>
      </c>
      <c r="I872">
        <v>0.26753471299999998</v>
      </c>
      <c r="J872">
        <v>1.399347538</v>
      </c>
      <c r="K872">
        <v>3634</v>
      </c>
      <c r="L872">
        <v>1802</v>
      </c>
      <c r="M872" s="2">
        <v>8</v>
      </c>
      <c r="N872">
        <v>0.85003808700000005</v>
      </c>
      <c r="O872">
        <v>0.95388513500000005</v>
      </c>
      <c r="P872" t="b">
        <v>0</v>
      </c>
      <c r="Q872">
        <v>0.84648405599999998</v>
      </c>
      <c r="R872" s="2">
        <v>1</v>
      </c>
      <c r="S872" s="2" t="str">
        <f t="shared" si="53"/>
        <v>May</v>
      </c>
      <c r="T872">
        <f t="shared" si="54"/>
        <v>2027</v>
      </c>
      <c r="U872" s="2" t="str">
        <f t="shared" si="55"/>
        <v>Q2</v>
      </c>
      <c r="V872" t="str">
        <f t="shared" si="56"/>
        <v>Completed</v>
      </c>
    </row>
    <row r="873" spans="1:22" x14ac:dyDescent="0.3">
      <c r="A873" s="2">
        <v>872</v>
      </c>
      <c r="B873" s="1">
        <v>46529</v>
      </c>
      <c r="C873" s="2" t="s">
        <v>16</v>
      </c>
      <c r="D873">
        <v>174</v>
      </c>
      <c r="E873">
        <v>2422</v>
      </c>
      <c r="F873">
        <v>816</v>
      </c>
      <c r="G873">
        <v>2495</v>
      </c>
      <c r="H873">
        <v>535</v>
      </c>
      <c r="I873">
        <v>0.49108281399999998</v>
      </c>
      <c r="J873">
        <v>0.78585886599999999</v>
      </c>
      <c r="K873">
        <v>3585</v>
      </c>
      <c r="L873">
        <v>2624</v>
      </c>
      <c r="M873" s="2">
        <v>4</v>
      </c>
      <c r="N873">
        <v>1.403781084</v>
      </c>
      <c r="O873">
        <v>0.80918391899999997</v>
      </c>
      <c r="P873" t="b">
        <v>0</v>
      </c>
      <c r="Q873">
        <v>1.3900245E-2</v>
      </c>
      <c r="R873" s="2">
        <v>1</v>
      </c>
      <c r="S873" s="2" t="str">
        <f t="shared" si="53"/>
        <v>May</v>
      </c>
      <c r="T873">
        <f t="shared" si="54"/>
        <v>2027</v>
      </c>
      <c r="U873" s="2" t="str">
        <f t="shared" si="55"/>
        <v>Q2</v>
      </c>
      <c r="V873" t="str">
        <f t="shared" si="56"/>
        <v>Completed</v>
      </c>
    </row>
    <row r="874" spans="1:22" x14ac:dyDescent="0.3">
      <c r="A874" s="2">
        <v>873</v>
      </c>
      <c r="B874" s="1">
        <v>46530</v>
      </c>
      <c r="C874" s="2" t="s">
        <v>5</v>
      </c>
      <c r="D874">
        <v>4195</v>
      </c>
      <c r="E874">
        <v>1713</v>
      </c>
      <c r="F874">
        <v>2705</v>
      </c>
      <c r="G874">
        <v>2960</v>
      </c>
      <c r="H874">
        <v>2840</v>
      </c>
      <c r="I874">
        <v>0.222495421</v>
      </c>
      <c r="J874">
        <v>2.804535065</v>
      </c>
      <c r="K874">
        <v>3903</v>
      </c>
      <c r="L874">
        <v>1250</v>
      </c>
      <c r="M874" s="2">
        <v>3</v>
      </c>
      <c r="N874">
        <v>1.171825473</v>
      </c>
      <c r="O874">
        <v>0.99336020199999997</v>
      </c>
      <c r="P874" t="b">
        <v>0</v>
      </c>
      <c r="Q874">
        <v>0.83585445599999997</v>
      </c>
      <c r="R874" s="2">
        <v>1</v>
      </c>
      <c r="S874" s="2" t="str">
        <f t="shared" si="53"/>
        <v>May</v>
      </c>
      <c r="T874">
        <f t="shared" si="54"/>
        <v>2027</v>
      </c>
      <c r="U874" s="2" t="str">
        <f t="shared" si="55"/>
        <v>Q2</v>
      </c>
      <c r="V874" t="str">
        <f t="shared" si="56"/>
        <v>Completed</v>
      </c>
    </row>
    <row r="875" spans="1:22" x14ac:dyDescent="0.3">
      <c r="A875" s="2">
        <v>874</v>
      </c>
      <c r="B875" s="1">
        <v>46531</v>
      </c>
      <c r="C875" s="2" t="s">
        <v>16</v>
      </c>
      <c r="D875">
        <v>671</v>
      </c>
      <c r="E875">
        <v>3131</v>
      </c>
      <c r="F875">
        <v>3866</v>
      </c>
      <c r="G875">
        <v>1332</v>
      </c>
      <c r="H875">
        <v>550</v>
      </c>
      <c r="I875">
        <v>0.69876421099999997</v>
      </c>
      <c r="J875">
        <v>2.3489390370000001</v>
      </c>
      <c r="K875">
        <v>837</v>
      </c>
      <c r="L875">
        <v>3170</v>
      </c>
      <c r="M875" s="2">
        <v>4</v>
      </c>
      <c r="N875">
        <v>0.50094976199999997</v>
      </c>
      <c r="O875">
        <v>0.935997156</v>
      </c>
      <c r="P875" t="b">
        <v>0</v>
      </c>
      <c r="Q875">
        <v>0.115494685</v>
      </c>
      <c r="R875" s="2">
        <v>1</v>
      </c>
      <c r="S875" s="2" t="str">
        <f t="shared" si="53"/>
        <v>May</v>
      </c>
      <c r="T875">
        <f t="shared" si="54"/>
        <v>2027</v>
      </c>
      <c r="U875" s="2" t="str">
        <f t="shared" si="55"/>
        <v>Q2</v>
      </c>
      <c r="V875" t="str">
        <f t="shared" si="56"/>
        <v>Completed</v>
      </c>
    </row>
    <row r="876" spans="1:22" x14ac:dyDescent="0.3">
      <c r="A876" s="2">
        <v>875</v>
      </c>
      <c r="B876" s="1">
        <v>46532</v>
      </c>
      <c r="C876" s="2" t="s">
        <v>18</v>
      </c>
      <c r="D876">
        <v>3083</v>
      </c>
      <c r="E876">
        <v>2589</v>
      </c>
      <c r="F876">
        <v>743</v>
      </c>
      <c r="G876">
        <v>4917</v>
      </c>
      <c r="H876">
        <v>3050</v>
      </c>
      <c r="I876">
        <v>0.66132119</v>
      </c>
      <c r="J876">
        <v>2.9146804959999999</v>
      </c>
      <c r="K876">
        <v>4918</v>
      </c>
      <c r="L876">
        <v>925</v>
      </c>
      <c r="M876" s="2">
        <v>8</v>
      </c>
      <c r="N876">
        <v>0.64384122799999999</v>
      </c>
      <c r="O876">
        <v>0.93978235700000001</v>
      </c>
      <c r="P876" t="b">
        <v>0</v>
      </c>
      <c r="Q876">
        <v>0.60854456300000004</v>
      </c>
      <c r="R876" s="2">
        <v>1</v>
      </c>
      <c r="S876" s="2" t="str">
        <f t="shared" si="53"/>
        <v>May</v>
      </c>
      <c r="T876">
        <f t="shared" si="54"/>
        <v>2027</v>
      </c>
      <c r="U876" s="2" t="str">
        <f t="shared" si="55"/>
        <v>Q2</v>
      </c>
      <c r="V876" t="str">
        <f t="shared" si="56"/>
        <v>Completed</v>
      </c>
    </row>
    <row r="877" spans="1:22" x14ac:dyDescent="0.3">
      <c r="A877" s="2">
        <v>876</v>
      </c>
      <c r="B877" s="1">
        <v>46533</v>
      </c>
      <c r="C877" s="2" t="s">
        <v>16</v>
      </c>
      <c r="D877">
        <v>3310</v>
      </c>
      <c r="E877">
        <v>1305</v>
      </c>
      <c r="F877">
        <v>1075</v>
      </c>
      <c r="G877">
        <v>1496</v>
      </c>
      <c r="H877">
        <v>2726</v>
      </c>
      <c r="I877">
        <v>0.77314875699999996</v>
      </c>
      <c r="J877">
        <v>2.638813501</v>
      </c>
      <c r="K877">
        <v>3415</v>
      </c>
      <c r="L877">
        <v>2357</v>
      </c>
      <c r="M877" s="2">
        <v>2</v>
      </c>
      <c r="N877">
        <v>1.594760747</v>
      </c>
      <c r="O877">
        <v>0.85838294599999998</v>
      </c>
      <c r="P877" t="b">
        <v>0</v>
      </c>
      <c r="Q877">
        <v>0.65494685200000002</v>
      </c>
      <c r="R877" s="2">
        <v>1</v>
      </c>
      <c r="S877" s="2" t="str">
        <f t="shared" si="53"/>
        <v>May</v>
      </c>
      <c r="T877">
        <f t="shared" si="54"/>
        <v>2027</v>
      </c>
      <c r="U877" s="2" t="str">
        <f t="shared" si="55"/>
        <v>Q2</v>
      </c>
      <c r="V877" t="str">
        <f t="shared" si="56"/>
        <v>Completed</v>
      </c>
    </row>
    <row r="878" spans="1:22" x14ac:dyDescent="0.3">
      <c r="A878" s="2">
        <v>877</v>
      </c>
      <c r="B878" s="1">
        <v>46534</v>
      </c>
      <c r="C878" s="2" t="s">
        <v>5</v>
      </c>
      <c r="D878">
        <v>919</v>
      </c>
      <c r="E878">
        <v>3170</v>
      </c>
      <c r="F878">
        <v>1870</v>
      </c>
      <c r="G878">
        <v>702</v>
      </c>
      <c r="H878">
        <v>2980</v>
      </c>
      <c r="I878">
        <v>0.20136343500000001</v>
      </c>
      <c r="J878">
        <v>2.7105042340000001</v>
      </c>
      <c r="K878">
        <v>3054</v>
      </c>
      <c r="L878">
        <v>2287</v>
      </c>
      <c r="M878" s="2">
        <v>5</v>
      </c>
      <c r="N878">
        <v>1.7602991290000001</v>
      </c>
      <c r="O878">
        <v>0.97421762499999998</v>
      </c>
      <c r="P878" t="b">
        <v>0</v>
      </c>
      <c r="Q878">
        <v>0.166189697</v>
      </c>
      <c r="R878" s="2">
        <v>1</v>
      </c>
      <c r="S878" s="2" t="str">
        <f t="shared" si="53"/>
        <v>May</v>
      </c>
      <c r="T878">
        <f t="shared" si="54"/>
        <v>2027</v>
      </c>
      <c r="U878" s="2" t="str">
        <f t="shared" si="55"/>
        <v>Q2</v>
      </c>
      <c r="V878" t="str">
        <f t="shared" si="56"/>
        <v>Completed</v>
      </c>
    </row>
    <row r="879" spans="1:22" x14ac:dyDescent="0.3">
      <c r="A879" s="2">
        <v>878</v>
      </c>
      <c r="B879" s="1">
        <v>46535</v>
      </c>
      <c r="C879" s="2" t="s">
        <v>17</v>
      </c>
      <c r="D879">
        <v>4697</v>
      </c>
      <c r="E879">
        <v>4254</v>
      </c>
      <c r="F879">
        <v>2112</v>
      </c>
      <c r="G879">
        <v>1946</v>
      </c>
      <c r="H879">
        <v>511</v>
      </c>
      <c r="I879">
        <v>0.47500369100000001</v>
      </c>
      <c r="J879">
        <v>0.89511554800000004</v>
      </c>
      <c r="K879">
        <v>1739</v>
      </c>
      <c r="L879">
        <v>229</v>
      </c>
      <c r="M879" s="2">
        <v>3</v>
      </c>
      <c r="N879">
        <v>1.11828635</v>
      </c>
      <c r="O879">
        <v>0.83579528700000005</v>
      </c>
      <c r="P879" t="b">
        <v>0</v>
      </c>
      <c r="Q879">
        <v>0.93847097300000004</v>
      </c>
      <c r="R879" s="2">
        <v>1</v>
      </c>
      <c r="S879" s="2" t="str">
        <f t="shared" si="53"/>
        <v>May</v>
      </c>
      <c r="T879">
        <f t="shared" si="54"/>
        <v>2027</v>
      </c>
      <c r="U879" s="2" t="str">
        <f t="shared" si="55"/>
        <v>Q2</v>
      </c>
      <c r="V879" t="str">
        <f t="shared" si="56"/>
        <v>Completed</v>
      </c>
    </row>
    <row r="880" spans="1:22" x14ac:dyDescent="0.3">
      <c r="A880" s="2">
        <v>879</v>
      </c>
      <c r="B880" s="1">
        <v>46536</v>
      </c>
      <c r="C880" s="2" t="s">
        <v>18</v>
      </c>
      <c r="D880">
        <v>4895</v>
      </c>
      <c r="E880">
        <v>1339</v>
      </c>
      <c r="F880">
        <v>715</v>
      </c>
      <c r="G880">
        <v>4485</v>
      </c>
      <c r="H880">
        <v>2380</v>
      </c>
      <c r="I880">
        <v>0.737501458</v>
      </c>
      <c r="J880">
        <v>2.7524495070000001</v>
      </c>
      <c r="K880">
        <v>4474</v>
      </c>
      <c r="L880">
        <v>2300</v>
      </c>
      <c r="M880" s="2">
        <v>8</v>
      </c>
      <c r="N880">
        <v>1.6576779690000001</v>
      </c>
      <c r="O880">
        <v>0.97208817999999997</v>
      </c>
      <c r="P880" t="b">
        <v>1</v>
      </c>
      <c r="Q880">
        <v>0.97894521700000003</v>
      </c>
      <c r="R880" s="2">
        <v>1</v>
      </c>
      <c r="S880" s="2" t="str">
        <f t="shared" si="53"/>
        <v>May</v>
      </c>
      <c r="T880">
        <f t="shared" si="54"/>
        <v>2027</v>
      </c>
      <c r="U880" s="2" t="str">
        <f t="shared" si="55"/>
        <v>Q2</v>
      </c>
      <c r="V880" t="str">
        <f t="shared" si="56"/>
        <v>Completed</v>
      </c>
    </row>
    <row r="881" spans="1:22" x14ac:dyDescent="0.3">
      <c r="A881" s="2">
        <v>880</v>
      </c>
      <c r="B881" s="1">
        <v>46537</v>
      </c>
      <c r="C881" s="2" t="s">
        <v>17</v>
      </c>
      <c r="D881">
        <v>699</v>
      </c>
      <c r="E881">
        <v>2110</v>
      </c>
      <c r="F881">
        <v>3831</v>
      </c>
      <c r="G881">
        <v>1121</v>
      </c>
      <c r="H881">
        <v>2286</v>
      </c>
      <c r="I881">
        <v>0.585208901</v>
      </c>
      <c r="J881">
        <v>0.92299746000000005</v>
      </c>
      <c r="K881">
        <v>133</v>
      </c>
      <c r="L881">
        <v>860</v>
      </c>
      <c r="M881" s="2">
        <v>8</v>
      </c>
      <c r="N881">
        <v>1.3146790559999999</v>
      </c>
      <c r="O881">
        <v>0.91240611800000004</v>
      </c>
      <c r="P881" t="b">
        <v>0</v>
      </c>
      <c r="Q881">
        <v>0.12121831600000001</v>
      </c>
      <c r="R881" s="2">
        <v>0</v>
      </c>
      <c r="S881" s="2" t="str">
        <f t="shared" si="53"/>
        <v>May</v>
      </c>
      <c r="T881">
        <f t="shared" si="54"/>
        <v>2027</v>
      </c>
      <c r="U881" s="2" t="str">
        <f t="shared" si="55"/>
        <v>Q2</v>
      </c>
      <c r="V881" t="str">
        <f t="shared" si="56"/>
        <v>Completed</v>
      </c>
    </row>
    <row r="882" spans="1:22" x14ac:dyDescent="0.3">
      <c r="A882" s="2">
        <v>881</v>
      </c>
      <c r="B882" s="1">
        <v>46538</v>
      </c>
      <c r="C882" s="2" t="s">
        <v>17</v>
      </c>
      <c r="D882">
        <v>2637</v>
      </c>
      <c r="E882">
        <v>1657</v>
      </c>
      <c r="F882">
        <v>1175</v>
      </c>
      <c r="G882">
        <v>4128</v>
      </c>
      <c r="H882">
        <v>1898</v>
      </c>
      <c r="I882">
        <v>0.29166685599999997</v>
      </c>
      <c r="J882">
        <v>1.592950893</v>
      </c>
      <c r="K882">
        <v>3066</v>
      </c>
      <c r="L882">
        <v>2614</v>
      </c>
      <c r="M882" s="2">
        <v>4</v>
      </c>
      <c r="N882">
        <v>1.759542889</v>
      </c>
      <c r="O882">
        <v>0.83572021600000002</v>
      </c>
      <c r="P882" t="b">
        <v>1</v>
      </c>
      <c r="Q882">
        <v>0.51737530700000001</v>
      </c>
      <c r="R882" s="2">
        <v>1</v>
      </c>
      <c r="S882" s="2" t="str">
        <f t="shared" si="53"/>
        <v>May</v>
      </c>
      <c r="T882">
        <f t="shared" si="54"/>
        <v>2027</v>
      </c>
      <c r="U882" s="2" t="str">
        <f t="shared" si="55"/>
        <v>Q2</v>
      </c>
      <c r="V882" t="str">
        <f t="shared" si="56"/>
        <v>Failed</v>
      </c>
    </row>
    <row r="883" spans="1:22" x14ac:dyDescent="0.3">
      <c r="A883" s="2">
        <v>882</v>
      </c>
      <c r="B883" s="1">
        <v>46539</v>
      </c>
      <c r="C883" s="2" t="s">
        <v>16</v>
      </c>
      <c r="D883">
        <v>3501</v>
      </c>
      <c r="E883">
        <v>3309</v>
      </c>
      <c r="F883">
        <v>1777</v>
      </c>
      <c r="G883">
        <v>1185</v>
      </c>
      <c r="H883">
        <v>2423</v>
      </c>
      <c r="I883">
        <v>0.46312715999999998</v>
      </c>
      <c r="J883">
        <v>2.5665482079999999</v>
      </c>
      <c r="K883">
        <v>3264</v>
      </c>
      <c r="L883">
        <v>3003</v>
      </c>
      <c r="M883" s="2">
        <v>4</v>
      </c>
      <c r="N883">
        <v>1.5818977460000001</v>
      </c>
      <c r="O883">
        <v>0.87395191500000002</v>
      </c>
      <c r="P883" t="b">
        <v>0</v>
      </c>
      <c r="Q883">
        <v>0.69399018800000001</v>
      </c>
      <c r="R883" s="2">
        <v>1</v>
      </c>
      <c r="S883" s="2" t="str">
        <f t="shared" si="53"/>
        <v>Jun</v>
      </c>
      <c r="T883">
        <f t="shared" si="54"/>
        <v>2027</v>
      </c>
      <c r="U883" s="2" t="str">
        <f t="shared" si="55"/>
        <v>Q2</v>
      </c>
      <c r="V883" t="str">
        <f t="shared" si="56"/>
        <v>Completed</v>
      </c>
    </row>
    <row r="884" spans="1:22" x14ac:dyDescent="0.3">
      <c r="A884" s="2">
        <v>883</v>
      </c>
      <c r="B884" s="1">
        <v>46540</v>
      </c>
      <c r="C884" s="2" t="s">
        <v>16</v>
      </c>
      <c r="D884">
        <v>1877</v>
      </c>
      <c r="E884">
        <v>3863</v>
      </c>
      <c r="F884">
        <v>3742</v>
      </c>
      <c r="G884">
        <v>4022</v>
      </c>
      <c r="H884">
        <v>225</v>
      </c>
      <c r="I884">
        <v>0.26137464599999999</v>
      </c>
      <c r="J884">
        <v>1.5077623170000001</v>
      </c>
      <c r="K884">
        <v>1033</v>
      </c>
      <c r="L884">
        <v>1109</v>
      </c>
      <c r="M884" s="2">
        <v>9</v>
      </c>
      <c r="N884">
        <v>1.1105395840000001</v>
      </c>
      <c r="O884">
        <v>0.84669812300000002</v>
      </c>
      <c r="P884" t="b">
        <v>0</v>
      </c>
      <c r="Q884">
        <v>0.36201962399999998</v>
      </c>
      <c r="R884" s="2">
        <v>1</v>
      </c>
      <c r="S884" s="2" t="str">
        <f t="shared" si="53"/>
        <v>Jun</v>
      </c>
      <c r="T884">
        <f t="shared" si="54"/>
        <v>2027</v>
      </c>
      <c r="U884" s="2" t="str">
        <f t="shared" si="55"/>
        <v>Q2</v>
      </c>
      <c r="V884" t="str">
        <f t="shared" si="56"/>
        <v>Completed</v>
      </c>
    </row>
    <row r="885" spans="1:22" x14ac:dyDescent="0.3">
      <c r="A885" s="2">
        <v>884</v>
      </c>
      <c r="B885" s="1">
        <v>46541</v>
      </c>
      <c r="C885" s="2" t="s">
        <v>5</v>
      </c>
      <c r="D885">
        <v>3452</v>
      </c>
      <c r="E885">
        <v>622</v>
      </c>
      <c r="F885">
        <v>1730</v>
      </c>
      <c r="G885">
        <v>757</v>
      </c>
      <c r="H885">
        <v>847</v>
      </c>
      <c r="I885">
        <v>0.34703139199999999</v>
      </c>
      <c r="J885">
        <v>0.85063476599999999</v>
      </c>
      <c r="K885">
        <v>4089</v>
      </c>
      <c r="L885">
        <v>3441</v>
      </c>
      <c r="M885" s="2">
        <v>4</v>
      </c>
      <c r="N885">
        <v>1.737972088</v>
      </c>
      <c r="O885">
        <v>0.91953535799999997</v>
      </c>
      <c r="P885" t="b">
        <v>0</v>
      </c>
      <c r="Q885">
        <v>0.68397383499999997</v>
      </c>
      <c r="R885" s="2">
        <v>1</v>
      </c>
      <c r="S885" s="2" t="str">
        <f t="shared" si="53"/>
        <v>Jun</v>
      </c>
      <c r="T885">
        <f t="shared" si="54"/>
        <v>2027</v>
      </c>
      <c r="U885" s="2" t="str">
        <f t="shared" si="55"/>
        <v>Q2</v>
      </c>
      <c r="V885" t="str">
        <f t="shared" si="56"/>
        <v>Completed</v>
      </c>
    </row>
    <row r="886" spans="1:22" x14ac:dyDescent="0.3">
      <c r="A886" s="2">
        <v>885</v>
      </c>
      <c r="B886" s="1">
        <v>46542</v>
      </c>
      <c r="C886" s="2" t="s">
        <v>18</v>
      </c>
      <c r="D886">
        <v>3880</v>
      </c>
      <c r="E886">
        <v>3088</v>
      </c>
      <c r="F886">
        <v>3213</v>
      </c>
      <c r="G886">
        <v>4724</v>
      </c>
      <c r="H886">
        <v>2497</v>
      </c>
      <c r="I886">
        <v>0.29723321400000002</v>
      </c>
      <c r="J886">
        <v>1.7466075089999999</v>
      </c>
      <c r="K886">
        <v>1117</v>
      </c>
      <c r="L886">
        <v>1494</v>
      </c>
      <c r="M886" s="2">
        <v>9</v>
      </c>
      <c r="N886">
        <v>1.272610158</v>
      </c>
      <c r="O886">
        <v>0.97537844100000004</v>
      </c>
      <c r="P886" t="b">
        <v>0</v>
      </c>
      <c r="Q886">
        <v>0.77146361399999996</v>
      </c>
      <c r="R886" s="2">
        <v>1</v>
      </c>
      <c r="S886" s="2" t="str">
        <f t="shared" si="53"/>
        <v>Jun</v>
      </c>
      <c r="T886">
        <f t="shared" si="54"/>
        <v>2027</v>
      </c>
      <c r="U886" s="2" t="str">
        <f t="shared" si="55"/>
        <v>Q2</v>
      </c>
      <c r="V886" t="str">
        <f t="shared" si="56"/>
        <v>Completed</v>
      </c>
    </row>
    <row r="887" spans="1:22" x14ac:dyDescent="0.3">
      <c r="A887" s="2">
        <v>886</v>
      </c>
      <c r="B887" s="1">
        <v>46543</v>
      </c>
      <c r="C887" s="2" t="s">
        <v>18</v>
      </c>
      <c r="D887">
        <v>4294</v>
      </c>
      <c r="E887">
        <v>2076</v>
      </c>
      <c r="F887">
        <v>3155</v>
      </c>
      <c r="G887">
        <v>3291</v>
      </c>
      <c r="H887">
        <v>3766</v>
      </c>
      <c r="I887">
        <v>0.59030800100000003</v>
      </c>
      <c r="J887">
        <v>2.5390881699999999</v>
      </c>
      <c r="K887">
        <v>900</v>
      </c>
      <c r="L887">
        <v>2531</v>
      </c>
      <c r="M887" s="2">
        <v>3</v>
      </c>
      <c r="N887">
        <v>1.554524832</v>
      </c>
      <c r="O887">
        <v>0.96665131299999996</v>
      </c>
      <c r="P887" t="b">
        <v>0</v>
      </c>
      <c r="Q887">
        <v>0.85609157800000002</v>
      </c>
      <c r="R887" s="2">
        <v>1</v>
      </c>
      <c r="S887" s="2" t="str">
        <f t="shared" si="53"/>
        <v>Jun</v>
      </c>
      <c r="T887">
        <f t="shared" si="54"/>
        <v>2027</v>
      </c>
      <c r="U887" s="2" t="str">
        <f t="shared" si="55"/>
        <v>Q2</v>
      </c>
      <c r="V887" t="str">
        <f t="shared" si="56"/>
        <v>Completed</v>
      </c>
    </row>
    <row r="888" spans="1:22" x14ac:dyDescent="0.3">
      <c r="A888" s="2">
        <v>887</v>
      </c>
      <c r="B888" s="1">
        <v>46544</v>
      </c>
      <c r="C888" s="2" t="s">
        <v>18</v>
      </c>
      <c r="D888">
        <v>4801</v>
      </c>
      <c r="E888">
        <v>924</v>
      </c>
      <c r="F888">
        <v>460</v>
      </c>
      <c r="G888">
        <v>450</v>
      </c>
      <c r="H888">
        <v>803</v>
      </c>
      <c r="I888">
        <v>0.68957383100000003</v>
      </c>
      <c r="J888">
        <v>2.1977598939999998</v>
      </c>
      <c r="K888">
        <v>3045</v>
      </c>
      <c r="L888">
        <v>1020</v>
      </c>
      <c r="M888" s="2">
        <v>7</v>
      </c>
      <c r="N888">
        <v>1.1532597389999999</v>
      </c>
      <c r="O888">
        <v>0.85985542500000001</v>
      </c>
      <c r="P888" t="b">
        <v>0</v>
      </c>
      <c r="Q888">
        <v>0.95973017199999999</v>
      </c>
      <c r="R888" s="2">
        <v>1</v>
      </c>
      <c r="S888" s="2" t="str">
        <f t="shared" si="53"/>
        <v>Jun</v>
      </c>
      <c r="T888">
        <f t="shared" si="54"/>
        <v>2027</v>
      </c>
      <c r="U888" s="2" t="str">
        <f t="shared" si="55"/>
        <v>Q2</v>
      </c>
      <c r="V888" t="str">
        <f t="shared" si="56"/>
        <v>Completed</v>
      </c>
    </row>
    <row r="889" spans="1:22" x14ac:dyDescent="0.3">
      <c r="A889" s="2">
        <v>888</v>
      </c>
      <c r="B889" s="1">
        <v>46545</v>
      </c>
      <c r="C889" s="2" t="s">
        <v>16</v>
      </c>
      <c r="D889">
        <v>2370</v>
      </c>
      <c r="E889">
        <v>3521</v>
      </c>
      <c r="F889">
        <v>1786</v>
      </c>
      <c r="G889">
        <v>3155</v>
      </c>
      <c r="H889">
        <v>1673</v>
      </c>
      <c r="I889">
        <v>0.72920010499999999</v>
      </c>
      <c r="J889">
        <v>2.9881959579999999</v>
      </c>
      <c r="K889">
        <v>1817</v>
      </c>
      <c r="L889">
        <v>3328</v>
      </c>
      <c r="M889" s="2">
        <v>7</v>
      </c>
      <c r="N889">
        <v>0.71797641899999998</v>
      </c>
      <c r="O889">
        <v>0.88975987000000001</v>
      </c>
      <c r="P889" t="b">
        <v>0</v>
      </c>
      <c r="Q889">
        <v>0.462796402</v>
      </c>
      <c r="R889" s="2">
        <v>1</v>
      </c>
      <c r="S889" s="2" t="str">
        <f t="shared" si="53"/>
        <v>Jun</v>
      </c>
      <c r="T889">
        <f t="shared" si="54"/>
        <v>2027</v>
      </c>
      <c r="U889" s="2" t="str">
        <f t="shared" si="55"/>
        <v>Q2</v>
      </c>
      <c r="V889" t="str">
        <f t="shared" si="56"/>
        <v>Completed</v>
      </c>
    </row>
    <row r="890" spans="1:22" x14ac:dyDescent="0.3">
      <c r="A890" s="2">
        <v>889</v>
      </c>
      <c r="B890" s="1">
        <v>46546</v>
      </c>
      <c r="C890" s="2" t="s">
        <v>17</v>
      </c>
      <c r="D890">
        <v>2285</v>
      </c>
      <c r="E890">
        <v>721</v>
      </c>
      <c r="F890">
        <v>1775</v>
      </c>
      <c r="G890">
        <v>1963</v>
      </c>
      <c r="H890">
        <v>2181</v>
      </c>
      <c r="I890">
        <v>0.74376341999999995</v>
      </c>
      <c r="J890">
        <v>1.826472989</v>
      </c>
      <c r="K890">
        <v>3860</v>
      </c>
      <c r="L890">
        <v>847</v>
      </c>
      <c r="M890" s="2">
        <v>4</v>
      </c>
      <c r="N890">
        <v>1.9791621319999999</v>
      </c>
      <c r="O890">
        <v>0.96855343000000005</v>
      </c>
      <c r="P890" t="b">
        <v>0</v>
      </c>
      <c r="Q890">
        <v>0.44542109600000002</v>
      </c>
      <c r="R890" s="2">
        <v>1</v>
      </c>
      <c r="S890" s="2" t="str">
        <f t="shared" si="53"/>
        <v>Jun</v>
      </c>
      <c r="T890">
        <f t="shared" si="54"/>
        <v>2027</v>
      </c>
      <c r="U890" s="2" t="str">
        <f t="shared" si="55"/>
        <v>Q2</v>
      </c>
      <c r="V890" t="str">
        <f t="shared" si="56"/>
        <v>Completed</v>
      </c>
    </row>
    <row r="891" spans="1:22" x14ac:dyDescent="0.3">
      <c r="A891" s="2">
        <v>890</v>
      </c>
      <c r="B891" s="1">
        <v>46547</v>
      </c>
      <c r="C891" s="2" t="s">
        <v>5</v>
      </c>
      <c r="D891">
        <v>1276</v>
      </c>
      <c r="E891">
        <v>1179</v>
      </c>
      <c r="F891">
        <v>1225</v>
      </c>
      <c r="G891">
        <v>1963</v>
      </c>
      <c r="H891">
        <v>1604</v>
      </c>
      <c r="I891">
        <v>0.39353412500000001</v>
      </c>
      <c r="J891">
        <v>1.668033184</v>
      </c>
      <c r="K891">
        <v>4711</v>
      </c>
      <c r="L891">
        <v>619</v>
      </c>
      <c r="M891" s="2">
        <v>9</v>
      </c>
      <c r="N891">
        <v>0.73431675500000004</v>
      </c>
      <c r="O891">
        <v>0.95677430900000004</v>
      </c>
      <c r="P891" t="b">
        <v>0</v>
      </c>
      <c r="Q891">
        <v>0.239165985</v>
      </c>
      <c r="R891" s="2">
        <v>1</v>
      </c>
      <c r="S891" s="2" t="str">
        <f t="shared" si="53"/>
        <v>Jun</v>
      </c>
      <c r="T891">
        <f t="shared" si="54"/>
        <v>2027</v>
      </c>
      <c r="U891" s="2" t="str">
        <f t="shared" si="55"/>
        <v>Q2</v>
      </c>
      <c r="V891" t="str">
        <f t="shared" si="56"/>
        <v>Completed</v>
      </c>
    </row>
    <row r="892" spans="1:22" x14ac:dyDescent="0.3">
      <c r="A892" s="2">
        <v>891</v>
      </c>
      <c r="B892" s="1">
        <v>46548</v>
      </c>
      <c r="C892" s="2" t="s">
        <v>16</v>
      </c>
      <c r="D892">
        <v>4573</v>
      </c>
      <c r="E892">
        <v>828</v>
      </c>
      <c r="F892">
        <v>1468</v>
      </c>
      <c r="G892">
        <v>3367</v>
      </c>
      <c r="H892">
        <v>2330</v>
      </c>
      <c r="I892">
        <v>0.63909520600000003</v>
      </c>
      <c r="J892">
        <v>1.532047355</v>
      </c>
      <c r="K892">
        <v>2617</v>
      </c>
      <c r="L892">
        <v>2074</v>
      </c>
      <c r="M892" s="2">
        <v>1</v>
      </c>
      <c r="N892">
        <v>0.90630091000000002</v>
      </c>
      <c r="O892">
        <v>0.91218377100000003</v>
      </c>
      <c r="P892" t="b">
        <v>0</v>
      </c>
      <c r="Q892">
        <v>0.91312346700000002</v>
      </c>
      <c r="R892" s="2">
        <v>1</v>
      </c>
      <c r="S892" s="2" t="str">
        <f t="shared" si="53"/>
        <v>Jun</v>
      </c>
      <c r="T892">
        <f t="shared" si="54"/>
        <v>2027</v>
      </c>
      <c r="U892" s="2" t="str">
        <f t="shared" si="55"/>
        <v>Q2</v>
      </c>
      <c r="V892" t="str">
        <f t="shared" si="56"/>
        <v>Completed</v>
      </c>
    </row>
    <row r="893" spans="1:22" x14ac:dyDescent="0.3">
      <c r="A893" s="2">
        <v>892</v>
      </c>
      <c r="B893" s="1">
        <v>46549</v>
      </c>
      <c r="C893" s="2" t="s">
        <v>18</v>
      </c>
      <c r="D893">
        <v>2840</v>
      </c>
      <c r="E893">
        <v>1296</v>
      </c>
      <c r="F893">
        <v>3783</v>
      </c>
      <c r="G893">
        <v>1833</v>
      </c>
      <c r="H893">
        <v>3377</v>
      </c>
      <c r="I893">
        <v>0.407711726</v>
      </c>
      <c r="J893">
        <v>1.384536236</v>
      </c>
      <c r="K893">
        <v>4754</v>
      </c>
      <c r="L893">
        <v>1306</v>
      </c>
      <c r="M893" s="2">
        <v>1</v>
      </c>
      <c r="N893">
        <v>1.1838270870000001</v>
      </c>
      <c r="O893">
        <v>0.87451716000000002</v>
      </c>
      <c r="P893" t="b">
        <v>0</v>
      </c>
      <c r="Q893">
        <v>0.55887162700000004</v>
      </c>
      <c r="R893" s="2">
        <v>1</v>
      </c>
      <c r="S893" s="2" t="str">
        <f t="shared" si="53"/>
        <v>Jun</v>
      </c>
      <c r="T893">
        <f t="shared" si="54"/>
        <v>2027</v>
      </c>
      <c r="U893" s="2" t="str">
        <f t="shared" si="55"/>
        <v>Q2</v>
      </c>
      <c r="V893" t="str">
        <f t="shared" si="56"/>
        <v>Completed</v>
      </c>
    </row>
    <row r="894" spans="1:22" x14ac:dyDescent="0.3">
      <c r="A894" s="2">
        <v>893</v>
      </c>
      <c r="B894" s="1">
        <v>46550</v>
      </c>
      <c r="C894" s="2" t="s">
        <v>18</v>
      </c>
      <c r="D894">
        <v>2929</v>
      </c>
      <c r="E894">
        <v>3449</v>
      </c>
      <c r="F894">
        <v>2017</v>
      </c>
      <c r="G894">
        <v>2089</v>
      </c>
      <c r="H894">
        <v>3764</v>
      </c>
      <c r="I894">
        <v>0.26818591800000002</v>
      </c>
      <c r="J894">
        <v>2.383759307</v>
      </c>
      <c r="K894">
        <v>121</v>
      </c>
      <c r="L894">
        <v>2034</v>
      </c>
      <c r="M894" s="2">
        <v>3</v>
      </c>
      <c r="N894">
        <v>0.85534327600000004</v>
      </c>
      <c r="O894">
        <v>0.89758062699999996</v>
      </c>
      <c r="P894" t="b">
        <v>0</v>
      </c>
      <c r="Q894">
        <v>0.57706459499999996</v>
      </c>
      <c r="R894" s="2">
        <v>1</v>
      </c>
      <c r="S894" s="2" t="str">
        <f t="shared" si="53"/>
        <v>Jun</v>
      </c>
      <c r="T894">
        <f t="shared" si="54"/>
        <v>2027</v>
      </c>
      <c r="U894" s="2" t="str">
        <f t="shared" si="55"/>
        <v>Q2</v>
      </c>
      <c r="V894" t="str">
        <f t="shared" si="56"/>
        <v>Completed</v>
      </c>
    </row>
    <row r="895" spans="1:22" x14ac:dyDescent="0.3">
      <c r="A895" s="2">
        <v>894</v>
      </c>
      <c r="B895" s="1">
        <v>46551</v>
      </c>
      <c r="C895" s="2" t="s">
        <v>17</v>
      </c>
      <c r="D895">
        <v>4357</v>
      </c>
      <c r="E895">
        <v>3271</v>
      </c>
      <c r="F895">
        <v>2917</v>
      </c>
      <c r="G895">
        <v>1897</v>
      </c>
      <c r="H895">
        <v>2119</v>
      </c>
      <c r="I895">
        <v>0.66139908300000005</v>
      </c>
      <c r="J895">
        <v>2.8338814989999999</v>
      </c>
      <c r="K895">
        <v>1763</v>
      </c>
      <c r="L895">
        <v>1329</v>
      </c>
      <c r="M895" s="2">
        <v>5</v>
      </c>
      <c r="N895">
        <v>1.2070322360000001</v>
      </c>
      <c r="O895">
        <v>0.93166121400000002</v>
      </c>
      <c r="P895" t="b">
        <v>0</v>
      </c>
      <c r="Q895">
        <v>0.86896974699999996</v>
      </c>
      <c r="R895" s="2">
        <v>1</v>
      </c>
      <c r="S895" s="2" t="str">
        <f t="shared" si="53"/>
        <v>Jun</v>
      </c>
      <c r="T895">
        <f t="shared" si="54"/>
        <v>2027</v>
      </c>
      <c r="U895" s="2" t="str">
        <f t="shared" si="55"/>
        <v>Q2</v>
      </c>
      <c r="V895" t="str">
        <f t="shared" si="56"/>
        <v>Completed</v>
      </c>
    </row>
    <row r="896" spans="1:22" x14ac:dyDescent="0.3">
      <c r="A896" s="2">
        <v>895</v>
      </c>
      <c r="B896" s="1">
        <v>46552</v>
      </c>
      <c r="C896" s="2" t="s">
        <v>5</v>
      </c>
      <c r="D896">
        <v>4657</v>
      </c>
      <c r="E896">
        <v>3225</v>
      </c>
      <c r="F896">
        <v>2750</v>
      </c>
      <c r="G896">
        <v>1455</v>
      </c>
      <c r="H896">
        <v>247</v>
      </c>
      <c r="I896">
        <v>0.45785285199999998</v>
      </c>
      <c r="J896">
        <v>1.129976023</v>
      </c>
      <c r="K896">
        <v>1586</v>
      </c>
      <c r="L896">
        <v>2508</v>
      </c>
      <c r="M896" s="2">
        <v>6</v>
      </c>
      <c r="N896">
        <v>1.1636319260000001</v>
      </c>
      <c r="O896">
        <v>0.93763933399999999</v>
      </c>
      <c r="P896" t="b">
        <v>0</v>
      </c>
      <c r="Q896">
        <v>0.93029435800000004</v>
      </c>
      <c r="R896" s="2">
        <v>1</v>
      </c>
      <c r="S896" s="2" t="str">
        <f t="shared" si="53"/>
        <v>Jun</v>
      </c>
      <c r="T896">
        <f t="shared" si="54"/>
        <v>2027</v>
      </c>
      <c r="U896" s="2" t="str">
        <f t="shared" si="55"/>
        <v>Q2</v>
      </c>
      <c r="V896" t="str">
        <f t="shared" si="56"/>
        <v>Completed</v>
      </c>
    </row>
    <row r="897" spans="1:22" x14ac:dyDescent="0.3">
      <c r="A897" s="2">
        <v>896</v>
      </c>
      <c r="B897" s="1">
        <v>46553</v>
      </c>
      <c r="C897" s="2" t="s">
        <v>18</v>
      </c>
      <c r="D897">
        <v>3614</v>
      </c>
      <c r="E897">
        <v>2716</v>
      </c>
      <c r="F897">
        <v>223</v>
      </c>
      <c r="G897">
        <v>2535</v>
      </c>
      <c r="H897">
        <v>3355</v>
      </c>
      <c r="I897">
        <v>0.26074323900000002</v>
      </c>
      <c r="J897">
        <v>2.604121594</v>
      </c>
      <c r="K897">
        <v>3367</v>
      </c>
      <c r="L897">
        <v>753</v>
      </c>
      <c r="M897" s="2">
        <v>5</v>
      </c>
      <c r="N897">
        <v>1.7415615129999999</v>
      </c>
      <c r="O897">
        <v>0.92329313499999999</v>
      </c>
      <c r="P897" t="b">
        <v>0</v>
      </c>
      <c r="Q897">
        <v>0.71708912499999999</v>
      </c>
      <c r="R897" s="2">
        <v>1</v>
      </c>
      <c r="S897" s="2" t="str">
        <f t="shared" si="53"/>
        <v>Jun</v>
      </c>
      <c r="T897">
        <f t="shared" si="54"/>
        <v>2027</v>
      </c>
      <c r="U897" s="2" t="str">
        <f t="shared" si="55"/>
        <v>Q2</v>
      </c>
      <c r="V897" t="str">
        <f t="shared" si="56"/>
        <v>Completed</v>
      </c>
    </row>
    <row r="898" spans="1:22" x14ac:dyDescent="0.3">
      <c r="A898" s="2">
        <v>897</v>
      </c>
      <c r="B898" s="1">
        <v>46554</v>
      </c>
      <c r="C898" s="2" t="s">
        <v>17</v>
      </c>
      <c r="D898">
        <v>2199</v>
      </c>
      <c r="E898">
        <v>4469</v>
      </c>
      <c r="F898">
        <v>1002</v>
      </c>
      <c r="G898">
        <v>2076</v>
      </c>
      <c r="H898">
        <v>3666</v>
      </c>
      <c r="I898">
        <v>0.37508509899999998</v>
      </c>
      <c r="J898">
        <v>1.387322339</v>
      </c>
      <c r="K898">
        <v>565</v>
      </c>
      <c r="L898">
        <v>2275</v>
      </c>
      <c r="M898" s="2">
        <v>7</v>
      </c>
      <c r="N898">
        <v>1.2934923110000001</v>
      </c>
      <c r="O898">
        <v>0.80994654200000005</v>
      </c>
      <c r="P898" t="b">
        <v>0</v>
      </c>
      <c r="Q898">
        <v>0.427841374</v>
      </c>
      <c r="R898" s="2">
        <v>1</v>
      </c>
      <c r="S898" s="2" t="str">
        <f t="shared" ref="S898:S961" si="57">TEXT(B898,"MMM")</f>
        <v>Jun</v>
      </c>
      <c r="T898">
        <f t="shared" ref="T898:T961" si="58">YEAR(B898)</f>
        <v>2027</v>
      </c>
      <c r="U898" s="2" t="str">
        <f t="shared" si="55"/>
        <v>Q2</v>
      </c>
      <c r="V898" t="str">
        <f t="shared" si="56"/>
        <v>Completed</v>
      </c>
    </row>
    <row r="899" spans="1:22" x14ac:dyDescent="0.3">
      <c r="A899" s="2">
        <v>898</v>
      </c>
      <c r="B899" s="1">
        <v>46555</v>
      </c>
      <c r="C899" s="2" t="s">
        <v>16</v>
      </c>
      <c r="D899">
        <v>1875</v>
      </c>
      <c r="E899">
        <v>1649</v>
      </c>
      <c r="F899">
        <v>461</v>
      </c>
      <c r="G899">
        <v>558</v>
      </c>
      <c r="H899">
        <v>1480</v>
      </c>
      <c r="I899">
        <v>0.57616741100000002</v>
      </c>
      <c r="J899">
        <v>2.7166308450000001</v>
      </c>
      <c r="K899">
        <v>3138</v>
      </c>
      <c r="L899">
        <v>3618</v>
      </c>
      <c r="M899" s="2">
        <v>1</v>
      </c>
      <c r="N899">
        <v>1.0076553399999999</v>
      </c>
      <c r="O899">
        <v>0.944402093</v>
      </c>
      <c r="P899" t="b">
        <v>0</v>
      </c>
      <c r="Q899">
        <v>0.36161079299999999</v>
      </c>
      <c r="R899" s="2">
        <v>1</v>
      </c>
      <c r="S899" s="2" t="str">
        <f t="shared" si="57"/>
        <v>Jun</v>
      </c>
      <c r="T899">
        <f t="shared" si="58"/>
        <v>2027</v>
      </c>
      <c r="U899" s="2" t="str">
        <f t="shared" ref="U899:U960" si="59">"Q"&amp;ROUNDUP(MONTH(B899)/3,0)</f>
        <v>Q2</v>
      </c>
      <c r="V899" t="str">
        <f t="shared" si="56"/>
        <v>Completed</v>
      </c>
    </row>
    <row r="900" spans="1:22" x14ac:dyDescent="0.3">
      <c r="A900" s="2">
        <v>899</v>
      </c>
      <c r="B900" s="1">
        <v>46556</v>
      </c>
      <c r="C900" s="2" t="s">
        <v>17</v>
      </c>
      <c r="D900">
        <v>943</v>
      </c>
      <c r="E900">
        <v>1849</v>
      </c>
      <c r="F900">
        <v>2771</v>
      </c>
      <c r="G900">
        <v>935</v>
      </c>
      <c r="H900">
        <v>2439</v>
      </c>
      <c r="I900">
        <v>0.468974738</v>
      </c>
      <c r="J900">
        <v>2.2532379439999999</v>
      </c>
      <c r="K900">
        <v>1463</v>
      </c>
      <c r="L900">
        <v>2500</v>
      </c>
      <c r="M900" s="2">
        <v>4</v>
      </c>
      <c r="N900">
        <v>1.2832947649999999</v>
      </c>
      <c r="O900">
        <v>0.90292000400000005</v>
      </c>
      <c r="P900" t="b">
        <v>0</v>
      </c>
      <c r="Q900">
        <v>0.17109566600000001</v>
      </c>
      <c r="R900" s="2">
        <v>1</v>
      </c>
      <c r="S900" s="2" t="str">
        <f t="shared" si="57"/>
        <v>Jun</v>
      </c>
      <c r="T900">
        <f t="shared" si="58"/>
        <v>2027</v>
      </c>
      <c r="U900" s="2" t="str">
        <f t="shared" si="59"/>
        <v>Q2</v>
      </c>
      <c r="V900" t="str">
        <f t="shared" ref="V900:V963" si="60">IF(R899=1,"Completed","Failed")</f>
        <v>Completed</v>
      </c>
    </row>
    <row r="901" spans="1:22" x14ac:dyDescent="0.3">
      <c r="A901" s="2">
        <v>900</v>
      </c>
      <c r="B901" s="1">
        <v>46557</v>
      </c>
      <c r="C901" s="2" t="s">
        <v>5</v>
      </c>
      <c r="D901">
        <v>1901</v>
      </c>
      <c r="E901">
        <v>766</v>
      </c>
      <c r="F901">
        <v>430</v>
      </c>
      <c r="G901">
        <v>690</v>
      </c>
      <c r="H901">
        <v>611</v>
      </c>
      <c r="I901">
        <v>0.718259278</v>
      </c>
      <c r="J901">
        <v>2.643402472</v>
      </c>
      <c r="K901">
        <v>1680</v>
      </c>
      <c r="L901">
        <v>3820</v>
      </c>
      <c r="M901" s="2">
        <v>1</v>
      </c>
      <c r="N901">
        <v>1.606327898</v>
      </c>
      <c r="O901">
        <v>0.90924569300000002</v>
      </c>
      <c r="P901" t="b">
        <v>0</v>
      </c>
      <c r="Q901">
        <v>0.36692559299999999</v>
      </c>
      <c r="R901" s="2">
        <v>1</v>
      </c>
      <c r="S901" s="2" t="str">
        <f t="shared" si="57"/>
        <v>Jun</v>
      </c>
      <c r="T901">
        <f t="shared" si="58"/>
        <v>2027</v>
      </c>
      <c r="U901" s="2" t="str">
        <f t="shared" si="59"/>
        <v>Q2</v>
      </c>
      <c r="V901" t="str">
        <f t="shared" si="60"/>
        <v>Completed</v>
      </c>
    </row>
    <row r="902" spans="1:22" x14ac:dyDescent="0.3">
      <c r="A902" s="2">
        <v>901</v>
      </c>
      <c r="B902" s="1">
        <v>46558</v>
      </c>
      <c r="C902" s="2" t="s">
        <v>17</v>
      </c>
      <c r="D902">
        <v>837</v>
      </c>
      <c r="E902">
        <v>1162</v>
      </c>
      <c r="F902">
        <v>2752</v>
      </c>
      <c r="G902">
        <v>4032</v>
      </c>
      <c r="H902">
        <v>2579</v>
      </c>
      <c r="I902">
        <v>0.62374568399999997</v>
      </c>
      <c r="J902">
        <v>2.5009494819999998</v>
      </c>
      <c r="K902">
        <v>769</v>
      </c>
      <c r="L902">
        <v>703</v>
      </c>
      <c r="M902" s="2">
        <v>7</v>
      </c>
      <c r="N902">
        <v>1.1905411429999999</v>
      </c>
      <c r="O902">
        <v>0.880749436</v>
      </c>
      <c r="P902" t="b">
        <v>0</v>
      </c>
      <c r="Q902">
        <v>0.149427637</v>
      </c>
      <c r="R902" s="2">
        <v>1</v>
      </c>
      <c r="S902" s="2" t="str">
        <f t="shared" si="57"/>
        <v>Jun</v>
      </c>
      <c r="T902">
        <f t="shared" si="58"/>
        <v>2027</v>
      </c>
      <c r="U902" s="2" t="str">
        <f t="shared" si="59"/>
        <v>Q2</v>
      </c>
      <c r="V902" t="str">
        <f t="shared" si="60"/>
        <v>Completed</v>
      </c>
    </row>
    <row r="903" spans="1:22" x14ac:dyDescent="0.3">
      <c r="A903" s="2">
        <v>902</v>
      </c>
      <c r="B903" s="1">
        <v>46559</v>
      </c>
      <c r="C903" s="2" t="s">
        <v>16</v>
      </c>
      <c r="D903">
        <v>3389</v>
      </c>
      <c r="E903">
        <v>2992</v>
      </c>
      <c r="F903">
        <v>2956</v>
      </c>
      <c r="G903">
        <v>4993</v>
      </c>
      <c r="H903">
        <v>2106</v>
      </c>
      <c r="I903">
        <v>0.47122705199999998</v>
      </c>
      <c r="J903">
        <v>0.73550069600000001</v>
      </c>
      <c r="K903">
        <v>497</v>
      </c>
      <c r="L903">
        <v>2181</v>
      </c>
      <c r="M903" s="2">
        <v>7</v>
      </c>
      <c r="N903">
        <v>0.77664708299999996</v>
      </c>
      <c r="O903">
        <v>0.95116816000000004</v>
      </c>
      <c r="P903" t="b">
        <v>0</v>
      </c>
      <c r="Q903">
        <v>0.67109566600000004</v>
      </c>
      <c r="R903" s="2">
        <v>1</v>
      </c>
      <c r="S903" s="2" t="str">
        <f t="shared" si="57"/>
        <v>Jun</v>
      </c>
      <c r="T903">
        <f t="shared" si="58"/>
        <v>2027</v>
      </c>
      <c r="U903" s="2" t="str">
        <f t="shared" si="59"/>
        <v>Q2</v>
      </c>
      <c r="V903" t="str">
        <f t="shared" si="60"/>
        <v>Completed</v>
      </c>
    </row>
    <row r="904" spans="1:22" x14ac:dyDescent="0.3">
      <c r="A904" s="2">
        <v>903</v>
      </c>
      <c r="B904" s="1">
        <v>46560</v>
      </c>
      <c r="C904" s="2" t="s">
        <v>16</v>
      </c>
      <c r="D904">
        <v>4368</v>
      </c>
      <c r="E904">
        <v>2024</v>
      </c>
      <c r="F904">
        <v>208</v>
      </c>
      <c r="G904">
        <v>4922</v>
      </c>
      <c r="H904">
        <v>1830</v>
      </c>
      <c r="I904">
        <v>0.51200611399999996</v>
      </c>
      <c r="J904">
        <v>2.6996507709999999</v>
      </c>
      <c r="K904">
        <v>881</v>
      </c>
      <c r="L904">
        <v>3436</v>
      </c>
      <c r="M904" s="2">
        <v>9</v>
      </c>
      <c r="N904">
        <v>1.672060823</v>
      </c>
      <c r="O904">
        <v>0.84789906800000003</v>
      </c>
      <c r="P904" t="b">
        <v>0</v>
      </c>
      <c r="Q904">
        <v>0.87121831599999999</v>
      </c>
      <c r="R904" s="2">
        <v>1</v>
      </c>
      <c r="S904" s="2" t="str">
        <f t="shared" si="57"/>
        <v>Jun</v>
      </c>
      <c r="T904">
        <f t="shared" si="58"/>
        <v>2027</v>
      </c>
      <c r="U904" s="2" t="str">
        <f t="shared" si="59"/>
        <v>Q2</v>
      </c>
      <c r="V904" t="str">
        <f t="shared" si="60"/>
        <v>Completed</v>
      </c>
    </row>
    <row r="905" spans="1:22" x14ac:dyDescent="0.3">
      <c r="A905" s="2">
        <v>904</v>
      </c>
      <c r="B905" s="1">
        <v>46561</v>
      </c>
      <c r="C905" s="2" t="s">
        <v>5</v>
      </c>
      <c r="D905">
        <v>4978</v>
      </c>
      <c r="E905">
        <v>510</v>
      </c>
      <c r="F905">
        <v>3432</v>
      </c>
      <c r="G905">
        <v>728</v>
      </c>
      <c r="H905">
        <v>880</v>
      </c>
      <c r="I905">
        <v>0.49712709500000002</v>
      </c>
      <c r="J905">
        <v>0.95423188400000003</v>
      </c>
      <c r="K905">
        <v>2981</v>
      </c>
      <c r="L905">
        <v>2441</v>
      </c>
      <c r="M905" s="2">
        <v>9</v>
      </c>
      <c r="N905">
        <v>0.76000951900000002</v>
      </c>
      <c r="O905">
        <v>0.806093434</v>
      </c>
      <c r="P905" t="b">
        <v>0</v>
      </c>
      <c r="Q905">
        <v>0.99591169300000004</v>
      </c>
      <c r="R905" s="2">
        <v>1</v>
      </c>
      <c r="S905" s="2" t="str">
        <f t="shared" si="57"/>
        <v>Jun</v>
      </c>
      <c r="T905">
        <f t="shared" si="58"/>
        <v>2027</v>
      </c>
      <c r="U905" s="2" t="str">
        <f t="shared" si="59"/>
        <v>Q2</v>
      </c>
      <c r="V905" t="str">
        <f t="shared" si="60"/>
        <v>Completed</v>
      </c>
    </row>
    <row r="906" spans="1:22" x14ac:dyDescent="0.3">
      <c r="A906" s="2">
        <v>905</v>
      </c>
      <c r="B906" s="1">
        <v>46562</v>
      </c>
      <c r="C906" s="2" t="s">
        <v>17</v>
      </c>
      <c r="D906">
        <v>3074</v>
      </c>
      <c r="E906">
        <v>529</v>
      </c>
      <c r="F906">
        <v>2719</v>
      </c>
      <c r="G906">
        <v>3374</v>
      </c>
      <c r="H906">
        <v>829</v>
      </c>
      <c r="I906">
        <v>0.471620229</v>
      </c>
      <c r="J906">
        <v>0.56210064400000004</v>
      </c>
      <c r="K906">
        <v>1319</v>
      </c>
      <c r="L906">
        <v>2741</v>
      </c>
      <c r="M906" s="2">
        <v>9</v>
      </c>
      <c r="N906">
        <v>0.99036273600000002</v>
      </c>
      <c r="O906">
        <v>0.96007118700000005</v>
      </c>
      <c r="P906" t="b">
        <v>0</v>
      </c>
      <c r="Q906">
        <v>0.60670482400000003</v>
      </c>
      <c r="R906" s="2">
        <v>1</v>
      </c>
      <c r="S906" s="2" t="str">
        <f t="shared" si="57"/>
        <v>Jun</v>
      </c>
      <c r="T906">
        <f t="shared" si="58"/>
        <v>2027</v>
      </c>
      <c r="U906" s="2" t="str">
        <f t="shared" si="59"/>
        <v>Q2</v>
      </c>
      <c r="V906" t="str">
        <f t="shared" si="60"/>
        <v>Completed</v>
      </c>
    </row>
    <row r="907" spans="1:22" x14ac:dyDescent="0.3">
      <c r="A907" s="2">
        <v>906</v>
      </c>
      <c r="B907" s="1">
        <v>46563</v>
      </c>
      <c r="C907" s="2" t="s">
        <v>18</v>
      </c>
      <c r="D907">
        <v>3258</v>
      </c>
      <c r="E907">
        <v>1853</v>
      </c>
      <c r="F907">
        <v>3166</v>
      </c>
      <c r="G907">
        <v>1907</v>
      </c>
      <c r="H907">
        <v>1799</v>
      </c>
      <c r="I907">
        <v>0.45253702299999998</v>
      </c>
      <c r="J907">
        <v>1.5755765980000001</v>
      </c>
      <c r="K907">
        <v>405</v>
      </c>
      <c r="L907">
        <v>689</v>
      </c>
      <c r="M907" s="2">
        <v>7</v>
      </c>
      <c r="N907">
        <v>1.1911658540000001</v>
      </c>
      <c r="O907">
        <v>0.97067725900000001</v>
      </c>
      <c r="P907" t="b">
        <v>0</v>
      </c>
      <c r="Q907">
        <v>0.64431725299999998</v>
      </c>
      <c r="R907" s="2">
        <v>1</v>
      </c>
      <c r="S907" s="2" t="str">
        <f t="shared" si="57"/>
        <v>Jun</v>
      </c>
      <c r="T907">
        <f t="shared" si="58"/>
        <v>2027</v>
      </c>
      <c r="U907" s="2" t="str">
        <f t="shared" si="59"/>
        <v>Q2</v>
      </c>
      <c r="V907" t="str">
        <f t="shared" si="60"/>
        <v>Completed</v>
      </c>
    </row>
    <row r="908" spans="1:22" x14ac:dyDescent="0.3">
      <c r="A908" s="2">
        <v>907</v>
      </c>
      <c r="B908" s="1">
        <v>46564</v>
      </c>
      <c r="C908" s="2" t="s">
        <v>17</v>
      </c>
      <c r="D908">
        <v>215</v>
      </c>
      <c r="E908">
        <v>3414</v>
      </c>
      <c r="F908">
        <v>3119</v>
      </c>
      <c r="G908">
        <v>1947</v>
      </c>
      <c r="H908">
        <v>3872</v>
      </c>
      <c r="I908">
        <v>0.40127025300000002</v>
      </c>
      <c r="J908">
        <v>2.538982861</v>
      </c>
      <c r="K908">
        <v>3533</v>
      </c>
      <c r="L908">
        <v>609</v>
      </c>
      <c r="M908" s="2">
        <v>6</v>
      </c>
      <c r="N908">
        <v>0.76681262699999997</v>
      </c>
      <c r="O908">
        <v>0.853451717</v>
      </c>
      <c r="P908" t="b">
        <v>0</v>
      </c>
      <c r="Q908">
        <v>2.2281275999999999E-2</v>
      </c>
      <c r="R908" s="2">
        <v>1</v>
      </c>
      <c r="S908" s="2" t="str">
        <f t="shared" si="57"/>
        <v>Jun</v>
      </c>
      <c r="T908">
        <f t="shared" si="58"/>
        <v>2027</v>
      </c>
      <c r="U908" s="2" t="str">
        <f t="shared" si="59"/>
        <v>Q2</v>
      </c>
      <c r="V908" t="str">
        <f t="shared" si="60"/>
        <v>Completed</v>
      </c>
    </row>
    <row r="909" spans="1:22" x14ac:dyDescent="0.3">
      <c r="A909" s="2">
        <v>908</v>
      </c>
      <c r="B909" s="1">
        <v>46565</v>
      </c>
      <c r="C909" s="2" t="s">
        <v>17</v>
      </c>
      <c r="D909">
        <v>4872</v>
      </c>
      <c r="E909">
        <v>3228</v>
      </c>
      <c r="F909">
        <v>1067</v>
      </c>
      <c r="G909">
        <v>1390</v>
      </c>
      <c r="H909">
        <v>1456</v>
      </c>
      <c r="I909">
        <v>0.58501179299999995</v>
      </c>
      <c r="J909">
        <v>1.3780561819999999</v>
      </c>
      <c r="K909">
        <v>666</v>
      </c>
      <c r="L909">
        <v>3421</v>
      </c>
      <c r="M909" s="2">
        <v>1</v>
      </c>
      <c r="N909">
        <v>0.804529406</v>
      </c>
      <c r="O909">
        <v>0.85558974399999999</v>
      </c>
      <c r="P909" t="b">
        <v>0</v>
      </c>
      <c r="Q909">
        <v>0.97424366299999998</v>
      </c>
      <c r="R909" s="2">
        <v>1</v>
      </c>
      <c r="S909" s="2" t="str">
        <f t="shared" si="57"/>
        <v>Jun</v>
      </c>
      <c r="T909">
        <f t="shared" si="58"/>
        <v>2027</v>
      </c>
      <c r="U909" s="2" t="str">
        <f t="shared" si="59"/>
        <v>Q2</v>
      </c>
      <c r="V909" t="str">
        <f t="shared" si="60"/>
        <v>Completed</v>
      </c>
    </row>
    <row r="910" spans="1:22" x14ac:dyDescent="0.3">
      <c r="A910" s="2">
        <v>909</v>
      </c>
      <c r="B910" s="1">
        <v>46566</v>
      </c>
      <c r="C910" s="2" t="s">
        <v>5</v>
      </c>
      <c r="D910">
        <v>2575</v>
      </c>
      <c r="E910">
        <v>2299</v>
      </c>
      <c r="F910">
        <v>1173</v>
      </c>
      <c r="G910">
        <v>3414</v>
      </c>
      <c r="H910">
        <v>3264</v>
      </c>
      <c r="I910">
        <v>0.31152071100000001</v>
      </c>
      <c r="J910">
        <v>0.75824051199999998</v>
      </c>
      <c r="K910">
        <v>1944</v>
      </c>
      <c r="L910">
        <v>3287</v>
      </c>
      <c r="M910" s="2">
        <v>2</v>
      </c>
      <c r="N910">
        <v>1.1158560719999999</v>
      </c>
      <c r="O910">
        <v>0.951889918</v>
      </c>
      <c r="P910" t="b">
        <v>0</v>
      </c>
      <c r="Q910">
        <v>0.50470155400000005</v>
      </c>
      <c r="R910" s="2">
        <v>1</v>
      </c>
      <c r="S910" s="2" t="str">
        <f t="shared" si="57"/>
        <v>Jun</v>
      </c>
      <c r="T910">
        <f t="shared" si="58"/>
        <v>2027</v>
      </c>
      <c r="U910" s="2" t="str">
        <f t="shared" si="59"/>
        <v>Q2</v>
      </c>
      <c r="V910" t="str">
        <f t="shared" si="60"/>
        <v>Completed</v>
      </c>
    </row>
    <row r="911" spans="1:22" x14ac:dyDescent="0.3">
      <c r="A911" s="2">
        <v>910</v>
      </c>
      <c r="B911" s="1">
        <v>46567</v>
      </c>
      <c r="C911" s="2" t="s">
        <v>17</v>
      </c>
      <c r="D911">
        <v>4873</v>
      </c>
      <c r="E911">
        <v>3282</v>
      </c>
      <c r="F911">
        <v>1647</v>
      </c>
      <c r="G911">
        <v>4519</v>
      </c>
      <c r="H911">
        <v>3335</v>
      </c>
      <c r="I911">
        <v>0.220490456</v>
      </c>
      <c r="J911">
        <v>2.0966539690000001</v>
      </c>
      <c r="K911">
        <v>3301</v>
      </c>
      <c r="L911">
        <v>2325</v>
      </c>
      <c r="M911" s="2">
        <v>8</v>
      </c>
      <c r="N911">
        <v>1.7992178350000001</v>
      </c>
      <c r="O911">
        <v>0.88164518000000003</v>
      </c>
      <c r="P911" t="b">
        <v>0</v>
      </c>
      <c r="Q911">
        <v>0.974448078</v>
      </c>
      <c r="R911" s="2">
        <v>1</v>
      </c>
      <c r="S911" s="2" t="str">
        <f t="shared" si="57"/>
        <v>Jun</v>
      </c>
      <c r="T911">
        <f t="shared" si="58"/>
        <v>2027</v>
      </c>
      <c r="U911" s="2" t="str">
        <f t="shared" si="59"/>
        <v>Q2</v>
      </c>
      <c r="V911" t="str">
        <f t="shared" si="60"/>
        <v>Completed</v>
      </c>
    </row>
    <row r="912" spans="1:22" x14ac:dyDescent="0.3">
      <c r="A912" s="2">
        <v>911</v>
      </c>
      <c r="B912" s="1">
        <v>46568</v>
      </c>
      <c r="C912" s="2" t="s">
        <v>17</v>
      </c>
      <c r="D912">
        <v>4077</v>
      </c>
      <c r="E912">
        <v>1301</v>
      </c>
      <c r="F912">
        <v>3347</v>
      </c>
      <c r="G912">
        <v>3695</v>
      </c>
      <c r="H912">
        <v>1951</v>
      </c>
      <c r="I912">
        <v>0.24926447099999999</v>
      </c>
      <c r="J912">
        <v>1.9815864700000001</v>
      </c>
      <c r="K912">
        <v>4968</v>
      </c>
      <c r="L912">
        <v>241</v>
      </c>
      <c r="M912" s="2">
        <v>5</v>
      </c>
      <c r="N912">
        <v>0.91254199599999997</v>
      </c>
      <c r="O912">
        <v>0.98400239599999995</v>
      </c>
      <c r="P912" t="b">
        <v>0</v>
      </c>
      <c r="Q912">
        <v>0.81173344199999997</v>
      </c>
      <c r="R912" s="2">
        <v>1</v>
      </c>
      <c r="S912" s="2" t="str">
        <f t="shared" si="57"/>
        <v>Jun</v>
      </c>
      <c r="T912">
        <f t="shared" si="58"/>
        <v>2027</v>
      </c>
      <c r="U912" s="2" t="str">
        <f t="shared" si="59"/>
        <v>Q2</v>
      </c>
      <c r="V912" t="str">
        <f t="shared" si="60"/>
        <v>Completed</v>
      </c>
    </row>
    <row r="913" spans="1:22" x14ac:dyDescent="0.3">
      <c r="A913" s="2">
        <v>912</v>
      </c>
      <c r="B913" s="1">
        <v>46569</v>
      </c>
      <c r="C913" s="2" t="s">
        <v>5</v>
      </c>
      <c r="D913">
        <v>1481</v>
      </c>
      <c r="E913">
        <v>3921</v>
      </c>
      <c r="F913">
        <v>1406</v>
      </c>
      <c r="G913">
        <v>4928</v>
      </c>
      <c r="H913">
        <v>921</v>
      </c>
      <c r="I913">
        <v>0.211048916</v>
      </c>
      <c r="J913">
        <v>2.1041873139999998</v>
      </c>
      <c r="K913">
        <v>2509</v>
      </c>
      <c r="L913">
        <v>3772</v>
      </c>
      <c r="M913" s="2">
        <v>3</v>
      </c>
      <c r="N913">
        <v>1.4929502880000001</v>
      </c>
      <c r="O913">
        <v>0.97673993999999997</v>
      </c>
      <c r="P913" t="b">
        <v>0</v>
      </c>
      <c r="Q913">
        <v>0.28107113700000003</v>
      </c>
      <c r="R913" s="2">
        <v>1</v>
      </c>
      <c r="S913" s="2" t="str">
        <f t="shared" si="57"/>
        <v>Jul</v>
      </c>
      <c r="T913">
        <f t="shared" si="58"/>
        <v>2027</v>
      </c>
      <c r="U913" s="2" t="str">
        <f t="shared" si="59"/>
        <v>Q3</v>
      </c>
      <c r="V913" t="str">
        <f t="shared" si="60"/>
        <v>Completed</v>
      </c>
    </row>
    <row r="914" spans="1:22" x14ac:dyDescent="0.3">
      <c r="A914" s="2">
        <v>913</v>
      </c>
      <c r="B914" s="1">
        <v>46570</v>
      </c>
      <c r="C914" s="2" t="s">
        <v>5</v>
      </c>
      <c r="D914">
        <v>2331</v>
      </c>
      <c r="E914">
        <v>4247</v>
      </c>
      <c r="F914">
        <v>3257</v>
      </c>
      <c r="G914">
        <v>662</v>
      </c>
      <c r="H914">
        <v>1010</v>
      </c>
      <c r="I914">
        <v>0.39422174500000001</v>
      </c>
      <c r="J914">
        <v>2.3972144179999999</v>
      </c>
      <c r="K914">
        <v>3721</v>
      </c>
      <c r="L914">
        <v>1948</v>
      </c>
      <c r="M914" s="2">
        <v>3</v>
      </c>
      <c r="N914">
        <v>1.4598224719999999</v>
      </c>
      <c r="O914">
        <v>0.92494603099999995</v>
      </c>
      <c r="P914" t="b">
        <v>0</v>
      </c>
      <c r="Q914">
        <v>0.45482420299999998</v>
      </c>
      <c r="R914" s="2">
        <v>1</v>
      </c>
      <c r="S914" s="2" t="str">
        <f t="shared" si="57"/>
        <v>Jul</v>
      </c>
      <c r="T914">
        <f t="shared" si="58"/>
        <v>2027</v>
      </c>
      <c r="U914" s="2" t="str">
        <f t="shared" si="59"/>
        <v>Q3</v>
      </c>
      <c r="V914" t="str">
        <f t="shared" si="60"/>
        <v>Completed</v>
      </c>
    </row>
    <row r="915" spans="1:22" x14ac:dyDescent="0.3">
      <c r="A915" s="2">
        <v>914</v>
      </c>
      <c r="B915" s="1">
        <v>46571</v>
      </c>
      <c r="C915" s="2" t="s">
        <v>16</v>
      </c>
      <c r="D915">
        <v>662</v>
      </c>
      <c r="E915">
        <v>1957</v>
      </c>
      <c r="F915">
        <v>3872</v>
      </c>
      <c r="G915">
        <v>1027</v>
      </c>
      <c r="H915">
        <v>3245</v>
      </c>
      <c r="I915">
        <v>0.38289752100000002</v>
      </c>
      <c r="J915">
        <v>2.1182933560000001</v>
      </c>
      <c r="K915">
        <v>4916</v>
      </c>
      <c r="L915">
        <v>1204</v>
      </c>
      <c r="M915" s="2">
        <v>8</v>
      </c>
      <c r="N915">
        <v>0.78627963300000003</v>
      </c>
      <c r="O915">
        <v>0.99026304200000004</v>
      </c>
      <c r="P915" t="b">
        <v>1</v>
      </c>
      <c r="Q915">
        <v>0.11365494700000001</v>
      </c>
      <c r="R915" s="2">
        <v>1</v>
      </c>
      <c r="S915" s="2" t="str">
        <f t="shared" si="57"/>
        <v>Jul</v>
      </c>
      <c r="T915">
        <f t="shared" si="58"/>
        <v>2027</v>
      </c>
      <c r="U915" s="2" t="str">
        <f t="shared" si="59"/>
        <v>Q3</v>
      </c>
      <c r="V915" t="str">
        <f t="shared" si="60"/>
        <v>Completed</v>
      </c>
    </row>
    <row r="916" spans="1:22" x14ac:dyDescent="0.3">
      <c r="A916" s="2">
        <v>915</v>
      </c>
      <c r="B916" s="1">
        <v>46572</v>
      </c>
      <c r="C916" s="2" t="s">
        <v>5</v>
      </c>
      <c r="D916">
        <v>2463</v>
      </c>
      <c r="E916">
        <v>587</v>
      </c>
      <c r="F916">
        <v>2555</v>
      </c>
      <c r="G916">
        <v>3831</v>
      </c>
      <c r="H916">
        <v>3133</v>
      </c>
      <c r="I916">
        <v>0.25324548099999999</v>
      </c>
      <c r="J916">
        <v>2.0149015380000002</v>
      </c>
      <c r="K916">
        <v>1683</v>
      </c>
      <c r="L916">
        <v>2913</v>
      </c>
      <c r="M916" s="2">
        <v>2</v>
      </c>
      <c r="N916">
        <v>1.3519535570000001</v>
      </c>
      <c r="O916">
        <v>0.93372996399999997</v>
      </c>
      <c r="P916" t="b">
        <v>1</v>
      </c>
      <c r="Q916">
        <v>0.48180703200000002</v>
      </c>
      <c r="R916" s="2">
        <v>1</v>
      </c>
      <c r="S916" s="2" t="str">
        <f t="shared" si="57"/>
        <v>Jul</v>
      </c>
      <c r="T916">
        <f t="shared" si="58"/>
        <v>2027</v>
      </c>
      <c r="U916" s="2" t="str">
        <f t="shared" si="59"/>
        <v>Q3</v>
      </c>
      <c r="V916" t="str">
        <f t="shared" si="60"/>
        <v>Completed</v>
      </c>
    </row>
    <row r="917" spans="1:22" x14ac:dyDescent="0.3">
      <c r="A917" s="2">
        <v>916</v>
      </c>
      <c r="B917" s="1">
        <v>46573</v>
      </c>
      <c r="C917" s="2" t="s">
        <v>16</v>
      </c>
      <c r="D917">
        <v>347</v>
      </c>
      <c r="E917">
        <v>2962</v>
      </c>
      <c r="F917">
        <v>3917</v>
      </c>
      <c r="G917">
        <v>356</v>
      </c>
      <c r="H917">
        <v>3003</v>
      </c>
      <c r="I917">
        <v>0.59116145200000003</v>
      </c>
      <c r="J917">
        <v>2.1728116260000001</v>
      </c>
      <c r="K917">
        <v>752</v>
      </c>
      <c r="L917">
        <v>744</v>
      </c>
      <c r="M917" s="2">
        <v>2</v>
      </c>
      <c r="N917">
        <v>1.4652950419999999</v>
      </c>
      <c r="O917">
        <v>0.99811180200000005</v>
      </c>
      <c r="P917" t="b">
        <v>0</v>
      </c>
      <c r="Q917">
        <v>4.9264105000000002E-2</v>
      </c>
      <c r="R917" s="2">
        <v>1</v>
      </c>
      <c r="S917" s="2" t="str">
        <f t="shared" si="57"/>
        <v>Jul</v>
      </c>
      <c r="T917">
        <f t="shared" si="58"/>
        <v>2027</v>
      </c>
      <c r="U917" s="2" t="str">
        <f t="shared" si="59"/>
        <v>Q3</v>
      </c>
      <c r="V917" t="str">
        <f t="shared" si="60"/>
        <v>Completed</v>
      </c>
    </row>
    <row r="918" spans="1:22" x14ac:dyDescent="0.3">
      <c r="A918" s="2">
        <v>917</v>
      </c>
      <c r="B918" s="1">
        <v>46574</v>
      </c>
      <c r="C918" s="2" t="s">
        <v>18</v>
      </c>
      <c r="D918">
        <v>2206</v>
      </c>
      <c r="E918">
        <v>4255</v>
      </c>
      <c r="F918">
        <v>2602</v>
      </c>
      <c r="G918">
        <v>1839</v>
      </c>
      <c r="H918">
        <v>3556</v>
      </c>
      <c r="I918">
        <v>0.58630709400000003</v>
      </c>
      <c r="J918">
        <v>1.603123326</v>
      </c>
      <c r="K918">
        <v>985</v>
      </c>
      <c r="L918">
        <v>1151</v>
      </c>
      <c r="M918" s="2">
        <v>4</v>
      </c>
      <c r="N918">
        <v>1.109778629</v>
      </c>
      <c r="O918">
        <v>0.88937880599999997</v>
      </c>
      <c r="P918" t="b">
        <v>0</v>
      </c>
      <c r="Q918">
        <v>0.42927228099999998</v>
      </c>
      <c r="R918" s="2">
        <v>1</v>
      </c>
      <c r="S918" s="2" t="str">
        <f t="shared" si="57"/>
        <v>Jul</v>
      </c>
      <c r="T918">
        <f t="shared" si="58"/>
        <v>2027</v>
      </c>
      <c r="U918" s="2" t="str">
        <f t="shared" si="59"/>
        <v>Q3</v>
      </c>
      <c r="V918" t="str">
        <f t="shared" si="60"/>
        <v>Completed</v>
      </c>
    </row>
    <row r="919" spans="1:22" x14ac:dyDescent="0.3">
      <c r="A919" s="2">
        <v>918</v>
      </c>
      <c r="B919" s="1">
        <v>46575</v>
      </c>
      <c r="C919" s="2" t="s">
        <v>16</v>
      </c>
      <c r="D919">
        <v>675</v>
      </c>
      <c r="E919">
        <v>666</v>
      </c>
      <c r="F919">
        <v>2269</v>
      </c>
      <c r="G919">
        <v>1925</v>
      </c>
      <c r="H919">
        <v>1541</v>
      </c>
      <c r="I919">
        <v>0.24479672299999999</v>
      </c>
      <c r="J919">
        <v>1.158889829</v>
      </c>
      <c r="K919">
        <v>1485</v>
      </c>
      <c r="L919">
        <v>3836</v>
      </c>
      <c r="M919" s="2">
        <v>8</v>
      </c>
      <c r="N919">
        <v>0.69754107499999995</v>
      </c>
      <c r="O919">
        <v>0.81330428300000002</v>
      </c>
      <c r="P919" t="b">
        <v>0</v>
      </c>
      <c r="Q919">
        <v>0.116312347</v>
      </c>
      <c r="R919" s="2">
        <v>1</v>
      </c>
      <c r="S919" s="2" t="str">
        <f t="shared" si="57"/>
        <v>Jul</v>
      </c>
      <c r="T919">
        <f t="shared" si="58"/>
        <v>2027</v>
      </c>
      <c r="U919" s="2" t="str">
        <f t="shared" si="59"/>
        <v>Q3</v>
      </c>
      <c r="V919" t="str">
        <f t="shared" si="60"/>
        <v>Completed</v>
      </c>
    </row>
    <row r="920" spans="1:22" x14ac:dyDescent="0.3">
      <c r="A920" s="2">
        <v>919</v>
      </c>
      <c r="B920" s="1">
        <v>46576</v>
      </c>
      <c r="C920" s="2" t="s">
        <v>18</v>
      </c>
      <c r="D920">
        <v>4916</v>
      </c>
      <c r="E920">
        <v>1705</v>
      </c>
      <c r="F920">
        <v>3101</v>
      </c>
      <c r="G920">
        <v>3644</v>
      </c>
      <c r="H920">
        <v>2307</v>
      </c>
      <c r="I920">
        <v>0.49082739800000003</v>
      </c>
      <c r="J920">
        <v>1.5209963559999999</v>
      </c>
      <c r="K920">
        <v>628</v>
      </c>
      <c r="L920">
        <v>2496</v>
      </c>
      <c r="M920" s="2">
        <v>6</v>
      </c>
      <c r="N920">
        <v>0.57300446299999996</v>
      </c>
      <c r="O920">
        <v>0.96049514899999999</v>
      </c>
      <c r="P920" t="b">
        <v>0</v>
      </c>
      <c r="Q920">
        <v>0.98323793900000001</v>
      </c>
      <c r="R920" s="2">
        <v>1</v>
      </c>
      <c r="S920" s="2" t="str">
        <f t="shared" si="57"/>
        <v>Jul</v>
      </c>
      <c r="T920">
        <f t="shared" si="58"/>
        <v>2027</v>
      </c>
      <c r="U920" s="2" t="str">
        <f t="shared" si="59"/>
        <v>Q3</v>
      </c>
      <c r="V920" t="str">
        <f t="shared" si="60"/>
        <v>Completed</v>
      </c>
    </row>
    <row r="921" spans="1:22" x14ac:dyDescent="0.3">
      <c r="A921" s="2">
        <v>920</v>
      </c>
      <c r="B921" s="1">
        <v>46577</v>
      </c>
      <c r="C921" s="2" t="s">
        <v>16</v>
      </c>
      <c r="D921">
        <v>4787</v>
      </c>
      <c r="E921">
        <v>907</v>
      </c>
      <c r="F921">
        <v>2372</v>
      </c>
      <c r="G921">
        <v>4938</v>
      </c>
      <c r="H921">
        <v>2433</v>
      </c>
      <c r="I921">
        <v>0.78481158500000003</v>
      </c>
      <c r="J921">
        <v>2.8747914159999999</v>
      </c>
      <c r="K921">
        <v>4095</v>
      </c>
      <c r="L921">
        <v>2142</v>
      </c>
      <c r="M921" s="2">
        <v>8</v>
      </c>
      <c r="N921">
        <v>1.105299904</v>
      </c>
      <c r="O921">
        <v>0.93526741400000002</v>
      </c>
      <c r="P921" t="b">
        <v>0</v>
      </c>
      <c r="Q921">
        <v>0.95686835699999995</v>
      </c>
      <c r="R921" s="2">
        <v>1</v>
      </c>
      <c r="S921" s="2" t="str">
        <f t="shared" si="57"/>
        <v>Jul</v>
      </c>
      <c r="T921">
        <f t="shared" si="58"/>
        <v>2027</v>
      </c>
      <c r="U921" s="2" t="str">
        <f t="shared" si="59"/>
        <v>Q3</v>
      </c>
      <c r="V921" t="str">
        <f t="shared" si="60"/>
        <v>Completed</v>
      </c>
    </row>
    <row r="922" spans="1:22" x14ac:dyDescent="0.3">
      <c r="A922" s="2">
        <v>921</v>
      </c>
      <c r="B922" s="1">
        <v>46578</v>
      </c>
      <c r="C922" s="2" t="s">
        <v>5</v>
      </c>
      <c r="D922">
        <v>268</v>
      </c>
      <c r="E922">
        <v>1588</v>
      </c>
      <c r="F922">
        <v>2774</v>
      </c>
      <c r="G922">
        <v>2347</v>
      </c>
      <c r="H922">
        <v>100</v>
      </c>
      <c r="I922">
        <v>0.56517790700000003</v>
      </c>
      <c r="J922">
        <v>1.094190129</v>
      </c>
      <c r="K922">
        <v>4736</v>
      </c>
      <c r="L922">
        <v>2714</v>
      </c>
      <c r="M922" s="2">
        <v>8</v>
      </c>
      <c r="N922">
        <v>1.4590779110000001</v>
      </c>
      <c r="O922">
        <v>0.830581766</v>
      </c>
      <c r="P922" t="b">
        <v>1</v>
      </c>
      <c r="Q922">
        <v>3.3115289999999999E-2</v>
      </c>
      <c r="R922" s="2">
        <v>1</v>
      </c>
      <c r="S922" s="2" t="str">
        <f t="shared" si="57"/>
        <v>Jul</v>
      </c>
      <c r="T922">
        <f t="shared" si="58"/>
        <v>2027</v>
      </c>
      <c r="U922" s="2" t="str">
        <f t="shared" si="59"/>
        <v>Q3</v>
      </c>
      <c r="V922" t="str">
        <f t="shared" si="60"/>
        <v>Completed</v>
      </c>
    </row>
    <row r="923" spans="1:22" x14ac:dyDescent="0.3">
      <c r="A923" s="2">
        <v>922</v>
      </c>
      <c r="B923" s="1">
        <v>46579</v>
      </c>
      <c r="C923" s="2" t="s">
        <v>17</v>
      </c>
      <c r="D923">
        <v>2411</v>
      </c>
      <c r="E923">
        <v>2637</v>
      </c>
      <c r="F923">
        <v>3490</v>
      </c>
      <c r="G923">
        <v>4812</v>
      </c>
      <c r="H923">
        <v>3378</v>
      </c>
      <c r="I923">
        <v>0.60352018200000002</v>
      </c>
      <c r="J923">
        <v>0.55932229700000002</v>
      </c>
      <c r="K923">
        <v>871</v>
      </c>
      <c r="L923">
        <v>1856</v>
      </c>
      <c r="M923" s="2">
        <v>1</v>
      </c>
      <c r="N923">
        <v>0.89152198599999999</v>
      </c>
      <c r="O923">
        <v>0.96110653199999996</v>
      </c>
      <c r="P923" t="b">
        <v>0</v>
      </c>
      <c r="Q923">
        <v>0.47117743299999998</v>
      </c>
      <c r="R923" s="2">
        <v>1</v>
      </c>
      <c r="S923" s="2" t="str">
        <f t="shared" si="57"/>
        <v>Jul</v>
      </c>
      <c r="T923">
        <f t="shared" si="58"/>
        <v>2027</v>
      </c>
      <c r="U923" s="2" t="str">
        <f t="shared" si="59"/>
        <v>Q3</v>
      </c>
      <c r="V923" t="str">
        <f t="shared" si="60"/>
        <v>Completed</v>
      </c>
    </row>
    <row r="924" spans="1:22" x14ac:dyDescent="0.3">
      <c r="A924" s="2">
        <v>923</v>
      </c>
      <c r="B924" s="1">
        <v>46580</v>
      </c>
      <c r="C924" s="2" t="s">
        <v>17</v>
      </c>
      <c r="D924">
        <v>1570</v>
      </c>
      <c r="E924">
        <v>3480</v>
      </c>
      <c r="F924">
        <v>3427</v>
      </c>
      <c r="G924">
        <v>382</v>
      </c>
      <c r="H924">
        <v>129</v>
      </c>
      <c r="I924">
        <v>0.50190628100000001</v>
      </c>
      <c r="J924">
        <v>1.9443130360000001</v>
      </c>
      <c r="K924">
        <v>739</v>
      </c>
      <c r="L924">
        <v>2365</v>
      </c>
      <c r="M924" s="2">
        <v>1</v>
      </c>
      <c r="N924">
        <v>1.671228435</v>
      </c>
      <c r="O924">
        <v>0.83196685299999995</v>
      </c>
      <c r="P924" t="b">
        <v>0</v>
      </c>
      <c r="Q924">
        <v>0.299264105</v>
      </c>
      <c r="R924" s="2">
        <v>1</v>
      </c>
      <c r="S924" s="2" t="str">
        <f t="shared" si="57"/>
        <v>Jul</v>
      </c>
      <c r="T924">
        <f t="shared" si="58"/>
        <v>2027</v>
      </c>
      <c r="U924" s="2" t="str">
        <f t="shared" si="59"/>
        <v>Q3</v>
      </c>
      <c r="V924" t="str">
        <f t="shared" si="60"/>
        <v>Completed</v>
      </c>
    </row>
    <row r="925" spans="1:22" x14ac:dyDescent="0.3">
      <c r="A925" s="2">
        <v>924</v>
      </c>
      <c r="B925" s="1">
        <v>46581</v>
      </c>
      <c r="C925" s="2" t="s">
        <v>16</v>
      </c>
      <c r="D925">
        <v>1369</v>
      </c>
      <c r="E925">
        <v>1599</v>
      </c>
      <c r="F925">
        <v>1426</v>
      </c>
      <c r="G925">
        <v>3897</v>
      </c>
      <c r="H925">
        <v>3080</v>
      </c>
      <c r="I925">
        <v>0.65614712500000005</v>
      </c>
      <c r="J925">
        <v>2.6887779200000002</v>
      </c>
      <c r="K925">
        <v>3158</v>
      </c>
      <c r="L925">
        <v>3726</v>
      </c>
      <c r="M925" s="2">
        <v>6</v>
      </c>
      <c r="N925">
        <v>1.2278102289999999</v>
      </c>
      <c r="O925">
        <v>0.83801109500000004</v>
      </c>
      <c r="P925" t="b">
        <v>0</v>
      </c>
      <c r="Q925">
        <v>0.258176615</v>
      </c>
      <c r="R925" s="2">
        <v>1</v>
      </c>
      <c r="S925" s="2" t="str">
        <f t="shared" si="57"/>
        <v>Jul</v>
      </c>
      <c r="T925">
        <f t="shared" si="58"/>
        <v>2027</v>
      </c>
      <c r="U925" s="2" t="str">
        <f t="shared" si="59"/>
        <v>Q3</v>
      </c>
      <c r="V925" t="str">
        <f t="shared" si="60"/>
        <v>Completed</v>
      </c>
    </row>
    <row r="926" spans="1:22" x14ac:dyDescent="0.3">
      <c r="A926" s="2">
        <v>925</v>
      </c>
      <c r="B926" s="1">
        <v>46582</v>
      </c>
      <c r="C926" s="2" t="s">
        <v>5</v>
      </c>
      <c r="D926">
        <v>713</v>
      </c>
      <c r="E926">
        <v>674</v>
      </c>
      <c r="F926">
        <v>3819</v>
      </c>
      <c r="G926">
        <v>2505</v>
      </c>
      <c r="H926">
        <v>703</v>
      </c>
      <c r="I926">
        <v>0.20585762199999999</v>
      </c>
      <c r="J926">
        <v>1.515964775</v>
      </c>
      <c r="K926">
        <v>3596</v>
      </c>
      <c r="L926">
        <v>2583</v>
      </c>
      <c r="M926" s="2">
        <v>5</v>
      </c>
      <c r="N926">
        <v>1.906339083</v>
      </c>
      <c r="O926">
        <v>0.835236859</v>
      </c>
      <c r="P926" t="b">
        <v>0</v>
      </c>
      <c r="Q926">
        <v>0.124080131</v>
      </c>
      <c r="R926" s="2">
        <v>1</v>
      </c>
      <c r="S926" s="2" t="str">
        <f t="shared" si="57"/>
        <v>Jul</v>
      </c>
      <c r="T926">
        <f t="shared" si="58"/>
        <v>2027</v>
      </c>
      <c r="U926" s="2" t="str">
        <f t="shared" si="59"/>
        <v>Q3</v>
      </c>
      <c r="V926" t="str">
        <f t="shared" si="60"/>
        <v>Completed</v>
      </c>
    </row>
    <row r="927" spans="1:22" x14ac:dyDescent="0.3">
      <c r="A927" s="2">
        <v>926</v>
      </c>
      <c r="B927" s="1">
        <v>46583</v>
      </c>
      <c r="C927" s="2" t="s">
        <v>16</v>
      </c>
      <c r="D927">
        <v>3111</v>
      </c>
      <c r="E927">
        <v>4192</v>
      </c>
      <c r="F927">
        <v>964</v>
      </c>
      <c r="G927">
        <v>1677</v>
      </c>
      <c r="H927">
        <v>3889</v>
      </c>
      <c r="I927">
        <v>0.75953326499999996</v>
      </c>
      <c r="J927">
        <v>1.931533655</v>
      </c>
      <c r="K927">
        <v>1287</v>
      </c>
      <c r="L927">
        <v>1042</v>
      </c>
      <c r="M927" s="2">
        <v>7</v>
      </c>
      <c r="N927">
        <v>1.9212622580000001</v>
      </c>
      <c r="O927">
        <v>0.84141738499999996</v>
      </c>
      <c r="P927" t="b">
        <v>0</v>
      </c>
      <c r="Q927">
        <v>0.61426819300000002</v>
      </c>
      <c r="R927" s="2">
        <v>1</v>
      </c>
      <c r="S927" s="2" t="str">
        <f t="shared" si="57"/>
        <v>Jul</v>
      </c>
      <c r="T927">
        <f t="shared" si="58"/>
        <v>2027</v>
      </c>
      <c r="U927" s="2" t="str">
        <f t="shared" si="59"/>
        <v>Q3</v>
      </c>
      <c r="V927" t="str">
        <f t="shared" si="60"/>
        <v>Completed</v>
      </c>
    </row>
    <row r="928" spans="1:22" x14ac:dyDescent="0.3">
      <c r="A928" s="2">
        <v>927</v>
      </c>
      <c r="B928" s="1">
        <v>46584</v>
      </c>
      <c r="C928" s="2" t="s">
        <v>18</v>
      </c>
      <c r="D928">
        <v>3959</v>
      </c>
      <c r="E928">
        <v>1061</v>
      </c>
      <c r="F928">
        <v>1308</v>
      </c>
      <c r="G928">
        <v>756</v>
      </c>
      <c r="H928">
        <v>2163</v>
      </c>
      <c r="I928">
        <v>0.30424464800000001</v>
      </c>
      <c r="J928">
        <v>0.71579048700000003</v>
      </c>
      <c r="K928">
        <v>4554</v>
      </c>
      <c r="L928">
        <v>1749</v>
      </c>
      <c r="M928" s="2">
        <v>7</v>
      </c>
      <c r="N928">
        <v>0.94119470900000002</v>
      </c>
      <c r="O928">
        <v>0.82435544900000002</v>
      </c>
      <c r="P928" t="b">
        <v>0</v>
      </c>
      <c r="Q928">
        <v>0.78761242799999998</v>
      </c>
      <c r="R928" s="2">
        <v>1</v>
      </c>
      <c r="S928" s="2" t="str">
        <f t="shared" si="57"/>
        <v>Jul</v>
      </c>
      <c r="T928">
        <f t="shared" si="58"/>
        <v>2027</v>
      </c>
      <c r="U928" s="2" t="str">
        <f t="shared" si="59"/>
        <v>Q3</v>
      </c>
      <c r="V928" t="str">
        <f t="shared" si="60"/>
        <v>Completed</v>
      </c>
    </row>
    <row r="929" spans="1:22" x14ac:dyDescent="0.3">
      <c r="A929" s="2">
        <v>928</v>
      </c>
      <c r="B929" s="1">
        <v>46585</v>
      </c>
      <c r="C929" s="2" t="s">
        <v>17</v>
      </c>
      <c r="D929">
        <v>4275</v>
      </c>
      <c r="E929">
        <v>1080</v>
      </c>
      <c r="F929">
        <v>1029</v>
      </c>
      <c r="G929">
        <v>1783</v>
      </c>
      <c r="H929">
        <v>370</v>
      </c>
      <c r="I929">
        <v>0.48634055199999998</v>
      </c>
      <c r="J929">
        <v>2.1415029730000001</v>
      </c>
      <c r="K929">
        <v>4476</v>
      </c>
      <c r="L929">
        <v>2717</v>
      </c>
      <c r="M929" s="2">
        <v>8</v>
      </c>
      <c r="N929">
        <v>1.608574664</v>
      </c>
      <c r="O929">
        <v>0.99954346900000002</v>
      </c>
      <c r="P929" t="b">
        <v>0</v>
      </c>
      <c r="Q929">
        <v>0.85220768599999996</v>
      </c>
      <c r="R929" s="2">
        <v>1</v>
      </c>
      <c r="S929" s="2" t="str">
        <f t="shared" si="57"/>
        <v>Jul</v>
      </c>
      <c r="T929">
        <f t="shared" si="58"/>
        <v>2027</v>
      </c>
      <c r="U929" s="2" t="str">
        <f t="shared" si="59"/>
        <v>Q3</v>
      </c>
      <c r="V929" t="str">
        <f t="shared" si="60"/>
        <v>Completed</v>
      </c>
    </row>
    <row r="930" spans="1:22" x14ac:dyDescent="0.3">
      <c r="A930" s="2">
        <v>929</v>
      </c>
      <c r="B930" s="1">
        <v>46586</v>
      </c>
      <c r="C930" s="2" t="s">
        <v>16</v>
      </c>
      <c r="D930">
        <v>1264</v>
      </c>
      <c r="E930">
        <v>1792</v>
      </c>
      <c r="F930">
        <v>2577</v>
      </c>
      <c r="G930">
        <v>3878</v>
      </c>
      <c r="H930">
        <v>3280</v>
      </c>
      <c r="I930">
        <v>0.49536203400000001</v>
      </c>
      <c r="J930">
        <v>0.663871671</v>
      </c>
      <c r="K930">
        <v>1594</v>
      </c>
      <c r="L930">
        <v>305</v>
      </c>
      <c r="M930" s="2">
        <v>6</v>
      </c>
      <c r="N930">
        <v>1.6554047110000001</v>
      </c>
      <c r="O930">
        <v>0.94703362300000005</v>
      </c>
      <c r="P930" t="b">
        <v>1</v>
      </c>
      <c r="Q930">
        <v>0.23671300100000001</v>
      </c>
      <c r="R930" s="2">
        <v>1</v>
      </c>
      <c r="S930" s="2" t="str">
        <f t="shared" si="57"/>
        <v>Jul</v>
      </c>
      <c r="T930">
        <f t="shared" si="58"/>
        <v>2027</v>
      </c>
      <c r="U930" s="2" t="str">
        <f t="shared" si="59"/>
        <v>Q3</v>
      </c>
      <c r="V930" t="str">
        <f t="shared" si="60"/>
        <v>Completed</v>
      </c>
    </row>
    <row r="931" spans="1:22" x14ac:dyDescent="0.3">
      <c r="A931" s="2">
        <v>930</v>
      </c>
      <c r="B931" s="1">
        <v>46587</v>
      </c>
      <c r="C931" s="2" t="s">
        <v>5</v>
      </c>
      <c r="D931">
        <v>1934</v>
      </c>
      <c r="E931">
        <v>1122</v>
      </c>
      <c r="F931">
        <v>701</v>
      </c>
      <c r="G931">
        <v>1830</v>
      </c>
      <c r="H931">
        <v>1388</v>
      </c>
      <c r="I931">
        <v>0.43111416600000002</v>
      </c>
      <c r="J931">
        <v>1.8436696450000001</v>
      </c>
      <c r="K931">
        <v>2445</v>
      </c>
      <c r="L931">
        <v>2242</v>
      </c>
      <c r="M931" s="2">
        <v>8</v>
      </c>
      <c r="N931">
        <v>0.789305751</v>
      </c>
      <c r="O931">
        <v>0.82496034600000001</v>
      </c>
      <c r="P931" t="b">
        <v>0</v>
      </c>
      <c r="Q931">
        <v>0.37367129999999998</v>
      </c>
      <c r="R931" s="2">
        <v>1</v>
      </c>
      <c r="S931" s="2" t="str">
        <f t="shared" si="57"/>
        <v>Jul</v>
      </c>
      <c r="T931">
        <f t="shared" si="58"/>
        <v>2027</v>
      </c>
      <c r="U931" s="2" t="str">
        <f t="shared" si="59"/>
        <v>Q3</v>
      </c>
      <c r="V931" t="str">
        <f t="shared" si="60"/>
        <v>Completed</v>
      </c>
    </row>
    <row r="932" spans="1:22" x14ac:dyDescent="0.3">
      <c r="A932" s="2">
        <v>931</v>
      </c>
      <c r="B932" s="1">
        <v>46588</v>
      </c>
      <c r="C932" s="2" t="s">
        <v>16</v>
      </c>
      <c r="D932">
        <v>3322</v>
      </c>
      <c r="E932">
        <v>3832</v>
      </c>
      <c r="F932">
        <v>2177</v>
      </c>
      <c r="G932">
        <v>4553</v>
      </c>
      <c r="H932">
        <v>1807</v>
      </c>
      <c r="I932">
        <v>0.44360861499999998</v>
      </c>
      <c r="J932">
        <v>2.4121328260000001</v>
      </c>
      <c r="K932">
        <v>531</v>
      </c>
      <c r="L932">
        <v>2997</v>
      </c>
      <c r="M932" s="2">
        <v>3</v>
      </c>
      <c r="N932">
        <v>1.4979405459999999</v>
      </c>
      <c r="O932">
        <v>0.81908736100000001</v>
      </c>
      <c r="P932" t="b">
        <v>0</v>
      </c>
      <c r="Q932">
        <v>0.65739983599999996</v>
      </c>
      <c r="R932" s="2">
        <v>1</v>
      </c>
      <c r="S932" s="2" t="str">
        <f t="shared" si="57"/>
        <v>Jul</v>
      </c>
      <c r="T932">
        <f t="shared" si="58"/>
        <v>2027</v>
      </c>
      <c r="U932" s="2" t="str">
        <f t="shared" si="59"/>
        <v>Q3</v>
      </c>
      <c r="V932" t="str">
        <f t="shared" si="60"/>
        <v>Completed</v>
      </c>
    </row>
    <row r="933" spans="1:22" x14ac:dyDescent="0.3">
      <c r="A933" s="2">
        <v>932</v>
      </c>
      <c r="B933" s="1">
        <v>46589</v>
      </c>
      <c r="C933" s="2" t="s">
        <v>16</v>
      </c>
      <c r="D933">
        <v>1684</v>
      </c>
      <c r="E933">
        <v>4137</v>
      </c>
      <c r="F933">
        <v>252</v>
      </c>
      <c r="G933">
        <v>1578</v>
      </c>
      <c r="H933">
        <v>1277</v>
      </c>
      <c r="I933">
        <v>0.48869427300000001</v>
      </c>
      <c r="J933">
        <v>2.1864006960000002</v>
      </c>
      <c r="K933">
        <v>2542</v>
      </c>
      <c r="L933">
        <v>2088</v>
      </c>
      <c r="M933" s="2">
        <v>1</v>
      </c>
      <c r="N933">
        <v>1.6631956269999999</v>
      </c>
      <c r="O933">
        <v>0.95597201700000001</v>
      </c>
      <c r="P933" t="b">
        <v>0</v>
      </c>
      <c r="Q933">
        <v>0.322567457</v>
      </c>
      <c r="R933" s="2">
        <v>1</v>
      </c>
      <c r="S933" s="2" t="str">
        <f t="shared" si="57"/>
        <v>Jul</v>
      </c>
      <c r="T933">
        <f t="shared" si="58"/>
        <v>2027</v>
      </c>
      <c r="U933" s="2" t="str">
        <f t="shared" si="59"/>
        <v>Q3</v>
      </c>
      <c r="V933" t="str">
        <f t="shared" si="60"/>
        <v>Completed</v>
      </c>
    </row>
    <row r="934" spans="1:22" x14ac:dyDescent="0.3">
      <c r="A934" s="2">
        <v>933</v>
      </c>
      <c r="B934" s="1">
        <v>46590</v>
      </c>
      <c r="C934" s="2" t="s">
        <v>17</v>
      </c>
      <c r="D934">
        <v>1649</v>
      </c>
      <c r="E934">
        <v>543</v>
      </c>
      <c r="F934">
        <v>3184</v>
      </c>
      <c r="G934">
        <v>4269</v>
      </c>
      <c r="H934">
        <v>1101</v>
      </c>
      <c r="I934">
        <v>0.40454022299999998</v>
      </c>
      <c r="J934">
        <v>2.0740887770000001</v>
      </c>
      <c r="K934">
        <v>3454</v>
      </c>
      <c r="L934">
        <v>2606</v>
      </c>
      <c r="M934" s="2">
        <v>6</v>
      </c>
      <c r="N934">
        <v>1.9983676930000001</v>
      </c>
      <c r="O934">
        <v>0.93749545499999998</v>
      </c>
      <c r="P934" t="b">
        <v>0</v>
      </c>
      <c r="Q934">
        <v>0.31541291900000001</v>
      </c>
      <c r="R934" s="2">
        <v>1</v>
      </c>
      <c r="S934" s="2" t="str">
        <f t="shared" si="57"/>
        <v>Jul</v>
      </c>
      <c r="T934">
        <f t="shared" si="58"/>
        <v>2027</v>
      </c>
      <c r="U934" s="2" t="str">
        <f t="shared" si="59"/>
        <v>Q3</v>
      </c>
      <c r="V934" t="str">
        <f t="shared" si="60"/>
        <v>Completed</v>
      </c>
    </row>
    <row r="935" spans="1:22" x14ac:dyDescent="0.3">
      <c r="A935" s="2">
        <v>934</v>
      </c>
      <c r="B935" s="1">
        <v>46591</v>
      </c>
      <c r="C935" s="2" t="s">
        <v>16</v>
      </c>
      <c r="D935">
        <v>342</v>
      </c>
      <c r="E935">
        <v>4187</v>
      </c>
      <c r="F935">
        <v>2631</v>
      </c>
      <c r="G935">
        <v>1120</v>
      </c>
      <c r="H935">
        <v>2078</v>
      </c>
      <c r="I935">
        <v>0.54713217999999997</v>
      </c>
      <c r="J935">
        <v>1.7597433250000001</v>
      </c>
      <c r="K935">
        <v>1586</v>
      </c>
      <c r="L935">
        <v>653</v>
      </c>
      <c r="M935" s="2">
        <v>2</v>
      </c>
      <c r="N935">
        <v>1.772076593</v>
      </c>
      <c r="O935">
        <v>0.95769942399999997</v>
      </c>
      <c r="P935" t="b">
        <v>0</v>
      </c>
      <c r="Q935">
        <v>4.8242027999999999E-2</v>
      </c>
      <c r="R935" s="2">
        <v>1</v>
      </c>
      <c r="S935" s="2" t="str">
        <f t="shared" si="57"/>
        <v>Jul</v>
      </c>
      <c r="T935">
        <f t="shared" si="58"/>
        <v>2027</v>
      </c>
      <c r="U935" s="2" t="str">
        <f t="shared" si="59"/>
        <v>Q3</v>
      </c>
      <c r="V935" t="str">
        <f t="shared" si="60"/>
        <v>Completed</v>
      </c>
    </row>
    <row r="936" spans="1:22" x14ac:dyDescent="0.3">
      <c r="A936" s="2">
        <v>935</v>
      </c>
      <c r="B936" s="1">
        <v>46592</v>
      </c>
      <c r="C936" s="2" t="s">
        <v>17</v>
      </c>
      <c r="D936">
        <v>352</v>
      </c>
      <c r="E936">
        <v>3292</v>
      </c>
      <c r="F936">
        <v>3751</v>
      </c>
      <c r="G936">
        <v>3457</v>
      </c>
      <c r="H936">
        <v>1183</v>
      </c>
      <c r="I936">
        <v>0.354328537</v>
      </c>
      <c r="J936">
        <v>2.5927578759999999</v>
      </c>
      <c r="K936">
        <v>2434</v>
      </c>
      <c r="L936">
        <v>2169</v>
      </c>
      <c r="M936" s="2">
        <v>4</v>
      </c>
      <c r="N936">
        <v>1.7469356279999999</v>
      </c>
      <c r="O936">
        <v>0.93109626499999998</v>
      </c>
      <c r="P936" t="b">
        <v>0</v>
      </c>
      <c r="Q936">
        <v>5.0286181999999999E-2</v>
      </c>
      <c r="R936" s="2">
        <v>1</v>
      </c>
      <c r="S936" s="2" t="str">
        <f t="shared" si="57"/>
        <v>Jul</v>
      </c>
      <c r="T936">
        <f t="shared" si="58"/>
        <v>2027</v>
      </c>
      <c r="U936" s="2" t="str">
        <f t="shared" si="59"/>
        <v>Q3</v>
      </c>
      <c r="V936" t="str">
        <f t="shared" si="60"/>
        <v>Completed</v>
      </c>
    </row>
    <row r="937" spans="1:22" x14ac:dyDescent="0.3">
      <c r="A937" s="2">
        <v>936</v>
      </c>
      <c r="B937" s="1">
        <v>46593</v>
      </c>
      <c r="C937" s="2" t="s">
        <v>17</v>
      </c>
      <c r="D937">
        <v>1928</v>
      </c>
      <c r="E937">
        <v>2686</v>
      </c>
      <c r="F937">
        <v>3392</v>
      </c>
      <c r="G937">
        <v>995</v>
      </c>
      <c r="H937">
        <v>734</v>
      </c>
      <c r="I937">
        <v>0.40085296399999998</v>
      </c>
      <c r="J937">
        <v>1.790389805</v>
      </c>
      <c r="K937">
        <v>1806</v>
      </c>
      <c r="L937">
        <v>2330</v>
      </c>
      <c r="M937" s="2">
        <v>2</v>
      </c>
      <c r="N937">
        <v>0.51434497700000004</v>
      </c>
      <c r="O937">
        <v>0.81829571099999998</v>
      </c>
      <c r="P937" t="b">
        <v>0</v>
      </c>
      <c r="Q937">
        <v>0.37244480800000002</v>
      </c>
      <c r="R937" s="2">
        <v>1</v>
      </c>
      <c r="S937" s="2" t="str">
        <f t="shared" si="57"/>
        <v>Jul</v>
      </c>
      <c r="T937">
        <f t="shared" si="58"/>
        <v>2027</v>
      </c>
      <c r="U937" s="2" t="str">
        <f t="shared" si="59"/>
        <v>Q3</v>
      </c>
      <c r="V937" t="str">
        <f t="shared" si="60"/>
        <v>Completed</v>
      </c>
    </row>
    <row r="938" spans="1:22" x14ac:dyDescent="0.3">
      <c r="A938" s="2">
        <v>937</v>
      </c>
      <c r="B938" s="1">
        <v>46594</v>
      </c>
      <c r="C938" s="2" t="s">
        <v>5</v>
      </c>
      <c r="D938">
        <v>4717</v>
      </c>
      <c r="E938">
        <v>3087</v>
      </c>
      <c r="F938">
        <v>979</v>
      </c>
      <c r="G938">
        <v>551</v>
      </c>
      <c r="H938">
        <v>2346</v>
      </c>
      <c r="I938">
        <v>0.29620684200000003</v>
      </c>
      <c r="J938">
        <v>1.511553629</v>
      </c>
      <c r="K938">
        <v>3472</v>
      </c>
      <c r="L938">
        <v>1428</v>
      </c>
      <c r="M938" s="2">
        <v>5</v>
      </c>
      <c r="N938">
        <v>1.7257942550000001</v>
      </c>
      <c r="O938">
        <v>0.93834607699999995</v>
      </c>
      <c r="P938" t="b">
        <v>0</v>
      </c>
      <c r="Q938">
        <v>0.94255928</v>
      </c>
      <c r="R938" s="2">
        <v>1</v>
      </c>
      <c r="S938" s="2" t="str">
        <f t="shared" si="57"/>
        <v>Jul</v>
      </c>
      <c r="T938">
        <f t="shared" si="58"/>
        <v>2027</v>
      </c>
      <c r="U938" s="2" t="str">
        <f t="shared" si="59"/>
        <v>Q3</v>
      </c>
      <c r="V938" t="str">
        <f t="shared" si="60"/>
        <v>Completed</v>
      </c>
    </row>
    <row r="939" spans="1:22" x14ac:dyDescent="0.3">
      <c r="A939" s="2">
        <v>938</v>
      </c>
      <c r="B939" s="1">
        <v>46595</v>
      </c>
      <c r="C939" s="2" t="s">
        <v>18</v>
      </c>
      <c r="D939">
        <v>1921</v>
      </c>
      <c r="E939">
        <v>1680</v>
      </c>
      <c r="F939">
        <v>655</v>
      </c>
      <c r="G939">
        <v>3683</v>
      </c>
      <c r="H939">
        <v>3545</v>
      </c>
      <c r="I939">
        <v>0.58384737900000006</v>
      </c>
      <c r="J939">
        <v>2.3684010600000001</v>
      </c>
      <c r="K939">
        <v>165</v>
      </c>
      <c r="L939">
        <v>1409</v>
      </c>
      <c r="M939" s="2">
        <v>3</v>
      </c>
      <c r="N939">
        <v>0.90106798499999996</v>
      </c>
      <c r="O939">
        <v>0.82204653100000002</v>
      </c>
      <c r="P939" t="b">
        <v>1</v>
      </c>
      <c r="Q939">
        <v>0.37101390000000001</v>
      </c>
      <c r="R939" s="2">
        <v>1</v>
      </c>
      <c r="S939" s="2" t="str">
        <f t="shared" si="57"/>
        <v>Jul</v>
      </c>
      <c r="T939">
        <f t="shared" si="58"/>
        <v>2027</v>
      </c>
      <c r="U939" s="2" t="str">
        <f t="shared" si="59"/>
        <v>Q3</v>
      </c>
      <c r="V939" t="str">
        <f t="shared" si="60"/>
        <v>Completed</v>
      </c>
    </row>
    <row r="940" spans="1:22" x14ac:dyDescent="0.3">
      <c r="A940" s="2">
        <v>939</v>
      </c>
      <c r="B940" s="1">
        <v>46596</v>
      </c>
      <c r="C940" s="2" t="s">
        <v>5</v>
      </c>
      <c r="D940">
        <v>3368</v>
      </c>
      <c r="E940">
        <v>3779</v>
      </c>
      <c r="F940">
        <v>606</v>
      </c>
      <c r="G940">
        <v>4212</v>
      </c>
      <c r="H940">
        <v>3565</v>
      </c>
      <c r="I940">
        <v>0.228671233</v>
      </c>
      <c r="J940">
        <v>2.3467624709999999</v>
      </c>
      <c r="K940">
        <v>1527</v>
      </c>
      <c r="L940">
        <v>872</v>
      </c>
      <c r="M940" s="2">
        <v>3</v>
      </c>
      <c r="N940">
        <v>1.916283548</v>
      </c>
      <c r="O940">
        <v>0.88299013699999995</v>
      </c>
      <c r="P940" t="b">
        <v>0</v>
      </c>
      <c r="Q940">
        <v>0.66680294399999995</v>
      </c>
      <c r="R940" s="2">
        <v>1</v>
      </c>
      <c r="S940" s="2" t="str">
        <f t="shared" si="57"/>
        <v>Jul</v>
      </c>
      <c r="T940">
        <f t="shared" si="58"/>
        <v>2027</v>
      </c>
      <c r="U940" s="2" t="str">
        <f t="shared" si="59"/>
        <v>Q3</v>
      </c>
      <c r="V940" t="str">
        <f t="shared" si="60"/>
        <v>Completed</v>
      </c>
    </row>
    <row r="941" spans="1:22" x14ac:dyDescent="0.3">
      <c r="A941" s="2">
        <v>940</v>
      </c>
      <c r="B941" s="1">
        <v>46597</v>
      </c>
      <c r="C941" s="2" t="s">
        <v>5</v>
      </c>
      <c r="D941">
        <v>4340</v>
      </c>
      <c r="E941">
        <v>824</v>
      </c>
      <c r="F941">
        <v>3362</v>
      </c>
      <c r="G941">
        <v>4347</v>
      </c>
      <c r="H941">
        <v>1205</v>
      </c>
      <c r="I941">
        <v>0.57212904600000003</v>
      </c>
      <c r="J941">
        <v>1.9927597690000001</v>
      </c>
      <c r="K941">
        <v>4724</v>
      </c>
      <c r="L941">
        <v>1668</v>
      </c>
      <c r="M941" s="2">
        <v>7</v>
      </c>
      <c r="N941">
        <v>1.8390158539999999</v>
      </c>
      <c r="O941">
        <v>0.95576411800000005</v>
      </c>
      <c r="P941" t="b">
        <v>1</v>
      </c>
      <c r="Q941">
        <v>0.86549468500000004</v>
      </c>
      <c r="R941" s="2">
        <v>1</v>
      </c>
      <c r="S941" s="2" t="str">
        <f t="shared" si="57"/>
        <v>Jul</v>
      </c>
      <c r="T941">
        <f t="shared" si="58"/>
        <v>2027</v>
      </c>
      <c r="U941" s="2" t="str">
        <f t="shared" si="59"/>
        <v>Q3</v>
      </c>
      <c r="V941" t="str">
        <f t="shared" si="60"/>
        <v>Completed</v>
      </c>
    </row>
    <row r="942" spans="1:22" x14ac:dyDescent="0.3">
      <c r="A942" s="2">
        <v>941</v>
      </c>
      <c r="B942" s="1">
        <v>46598</v>
      </c>
      <c r="C942" s="2" t="s">
        <v>16</v>
      </c>
      <c r="D942">
        <v>4215</v>
      </c>
      <c r="E942">
        <v>3784</v>
      </c>
      <c r="F942">
        <v>961</v>
      </c>
      <c r="G942">
        <v>1562</v>
      </c>
      <c r="H942">
        <v>3885</v>
      </c>
      <c r="I942">
        <v>0.22107183699999999</v>
      </c>
      <c r="J942">
        <v>0.61554507800000002</v>
      </c>
      <c r="K942">
        <v>1978</v>
      </c>
      <c r="L942">
        <v>3094</v>
      </c>
      <c r="M942" s="2">
        <v>3</v>
      </c>
      <c r="N942">
        <v>0.86812652199999996</v>
      </c>
      <c r="O942">
        <v>0.84281318999999999</v>
      </c>
      <c r="P942" t="b">
        <v>0</v>
      </c>
      <c r="Q942">
        <v>0.83994276400000001</v>
      </c>
      <c r="R942" s="2">
        <v>1</v>
      </c>
      <c r="S942" s="2" t="str">
        <f t="shared" si="57"/>
        <v>Jul</v>
      </c>
      <c r="T942">
        <f t="shared" si="58"/>
        <v>2027</v>
      </c>
      <c r="U942" s="2" t="str">
        <f t="shared" si="59"/>
        <v>Q3</v>
      </c>
      <c r="V942" t="str">
        <f t="shared" si="60"/>
        <v>Completed</v>
      </c>
    </row>
    <row r="943" spans="1:22" x14ac:dyDescent="0.3">
      <c r="A943" s="2">
        <v>942</v>
      </c>
      <c r="B943" s="1">
        <v>46599</v>
      </c>
      <c r="C943" s="2" t="s">
        <v>5</v>
      </c>
      <c r="D943">
        <v>3645</v>
      </c>
      <c r="E943">
        <v>2594</v>
      </c>
      <c r="F943">
        <v>1739</v>
      </c>
      <c r="G943">
        <v>3591</v>
      </c>
      <c r="H943">
        <v>265</v>
      </c>
      <c r="I943">
        <v>0.61113358900000003</v>
      </c>
      <c r="J943">
        <v>1.6439529150000001</v>
      </c>
      <c r="K943">
        <v>3085</v>
      </c>
      <c r="L943">
        <v>1988</v>
      </c>
      <c r="M943" s="2">
        <v>5</v>
      </c>
      <c r="N943">
        <v>1.780119215</v>
      </c>
      <c r="O943">
        <v>0.84199456800000005</v>
      </c>
      <c r="P943" t="b">
        <v>0</v>
      </c>
      <c r="Q943">
        <v>0.72342600199999996</v>
      </c>
      <c r="R943" s="2">
        <v>1</v>
      </c>
      <c r="S943" s="2" t="str">
        <f t="shared" si="57"/>
        <v>Jul</v>
      </c>
      <c r="T943">
        <f t="shared" si="58"/>
        <v>2027</v>
      </c>
      <c r="U943" s="2" t="str">
        <f t="shared" si="59"/>
        <v>Q3</v>
      </c>
      <c r="V943" t="str">
        <f t="shared" si="60"/>
        <v>Completed</v>
      </c>
    </row>
    <row r="944" spans="1:22" x14ac:dyDescent="0.3">
      <c r="A944" s="2">
        <v>943</v>
      </c>
      <c r="B944" s="1">
        <v>46600</v>
      </c>
      <c r="C944" s="2" t="s">
        <v>17</v>
      </c>
      <c r="D944">
        <v>463</v>
      </c>
      <c r="E944">
        <v>1995</v>
      </c>
      <c r="F944">
        <v>776</v>
      </c>
      <c r="G944">
        <v>4585</v>
      </c>
      <c r="H944">
        <v>2607</v>
      </c>
      <c r="I944">
        <v>0.52530471499999998</v>
      </c>
      <c r="J944">
        <v>2.9943528700000002</v>
      </c>
      <c r="K944">
        <v>4627</v>
      </c>
      <c r="L944">
        <v>3326</v>
      </c>
      <c r="M944" s="2">
        <v>3</v>
      </c>
      <c r="N944">
        <v>1.7471833160000001</v>
      </c>
      <c r="O944">
        <v>0.88487019499999997</v>
      </c>
      <c r="P944" t="b">
        <v>0</v>
      </c>
      <c r="Q944">
        <v>7.2976288E-2</v>
      </c>
      <c r="R944" s="2">
        <v>1</v>
      </c>
      <c r="S944" s="2" t="str">
        <f t="shared" si="57"/>
        <v>Aug</v>
      </c>
      <c r="T944">
        <f t="shared" si="58"/>
        <v>2027</v>
      </c>
      <c r="U944" s="2" t="str">
        <f t="shared" si="59"/>
        <v>Q3</v>
      </c>
      <c r="V944" t="str">
        <f t="shared" si="60"/>
        <v>Completed</v>
      </c>
    </row>
    <row r="945" spans="1:22" x14ac:dyDescent="0.3">
      <c r="A945" s="2">
        <v>944</v>
      </c>
      <c r="B945" s="1">
        <v>46601</v>
      </c>
      <c r="C945" s="2" t="s">
        <v>17</v>
      </c>
      <c r="D945">
        <v>1601</v>
      </c>
      <c r="E945">
        <v>2757</v>
      </c>
      <c r="F945">
        <v>3343</v>
      </c>
      <c r="G945">
        <v>867</v>
      </c>
      <c r="H945">
        <v>3781</v>
      </c>
      <c r="I945">
        <v>0.59119566899999998</v>
      </c>
      <c r="J945">
        <v>2.165142838</v>
      </c>
      <c r="K945">
        <v>2873</v>
      </c>
      <c r="L945">
        <v>1868</v>
      </c>
      <c r="M945" s="2">
        <v>4</v>
      </c>
      <c r="N945">
        <v>1.2962004380000001</v>
      </c>
      <c r="O945">
        <v>0.86950486599999999</v>
      </c>
      <c r="P945" t="b">
        <v>0</v>
      </c>
      <c r="Q945">
        <v>0.30560098099999999</v>
      </c>
      <c r="R945" s="2">
        <v>0</v>
      </c>
      <c r="S945" s="2" t="str">
        <f t="shared" si="57"/>
        <v>Aug</v>
      </c>
      <c r="T945">
        <f t="shared" si="58"/>
        <v>2027</v>
      </c>
      <c r="U945" s="2" t="str">
        <f t="shared" si="59"/>
        <v>Q3</v>
      </c>
      <c r="V945" t="str">
        <f t="shared" si="60"/>
        <v>Completed</v>
      </c>
    </row>
    <row r="946" spans="1:22" x14ac:dyDescent="0.3">
      <c r="A946" s="2">
        <v>945</v>
      </c>
      <c r="B946" s="1">
        <v>46602</v>
      </c>
      <c r="C946" s="2" t="s">
        <v>18</v>
      </c>
      <c r="D946">
        <v>813</v>
      </c>
      <c r="E946">
        <v>4424</v>
      </c>
      <c r="F946">
        <v>476</v>
      </c>
      <c r="G946">
        <v>1560</v>
      </c>
      <c r="H946">
        <v>3570</v>
      </c>
      <c r="I946">
        <v>0.438479075</v>
      </c>
      <c r="J946">
        <v>2.2972218309999999</v>
      </c>
      <c r="K946">
        <v>513</v>
      </c>
      <c r="L946">
        <v>2257</v>
      </c>
      <c r="M946" s="2">
        <v>6</v>
      </c>
      <c r="N946">
        <v>1.988927728</v>
      </c>
      <c r="O946">
        <v>0.88633960300000003</v>
      </c>
      <c r="P946" t="b">
        <v>0</v>
      </c>
      <c r="Q946">
        <v>0.14452166799999999</v>
      </c>
      <c r="R946" s="2">
        <v>1</v>
      </c>
      <c r="S946" s="2" t="str">
        <f t="shared" si="57"/>
        <v>Aug</v>
      </c>
      <c r="T946">
        <f t="shared" si="58"/>
        <v>2027</v>
      </c>
      <c r="U946" s="2" t="str">
        <f t="shared" si="59"/>
        <v>Q3</v>
      </c>
      <c r="V946" t="str">
        <f t="shared" si="60"/>
        <v>Failed</v>
      </c>
    </row>
    <row r="947" spans="1:22" x14ac:dyDescent="0.3">
      <c r="A947" s="2">
        <v>946</v>
      </c>
      <c r="B947" s="1">
        <v>46603</v>
      </c>
      <c r="C947" s="2" t="s">
        <v>18</v>
      </c>
      <c r="D947">
        <v>3580</v>
      </c>
      <c r="E947">
        <v>1758</v>
      </c>
      <c r="F947">
        <v>667</v>
      </c>
      <c r="G947">
        <v>362</v>
      </c>
      <c r="H947">
        <v>1334</v>
      </c>
      <c r="I947">
        <v>0.72920731400000005</v>
      </c>
      <c r="J947">
        <v>1.54213062</v>
      </c>
      <c r="K947">
        <v>1187</v>
      </c>
      <c r="L947">
        <v>1022</v>
      </c>
      <c r="M947" s="2">
        <v>4</v>
      </c>
      <c r="N947">
        <v>0.726516355</v>
      </c>
      <c r="O947">
        <v>0.95250426799999999</v>
      </c>
      <c r="P947" t="b">
        <v>0</v>
      </c>
      <c r="Q947">
        <v>0.71013900200000002</v>
      </c>
      <c r="R947" s="2">
        <v>1</v>
      </c>
      <c r="S947" s="2" t="str">
        <f t="shared" si="57"/>
        <v>Aug</v>
      </c>
      <c r="T947">
        <f t="shared" si="58"/>
        <v>2027</v>
      </c>
      <c r="U947" s="2" t="str">
        <f t="shared" si="59"/>
        <v>Q3</v>
      </c>
      <c r="V947" t="str">
        <f t="shared" si="60"/>
        <v>Completed</v>
      </c>
    </row>
    <row r="948" spans="1:22" x14ac:dyDescent="0.3">
      <c r="A948" s="2">
        <v>947</v>
      </c>
      <c r="B948" s="1">
        <v>46604</v>
      </c>
      <c r="C948" s="2" t="s">
        <v>16</v>
      </c>
      <c r="D948">
        <v>4266</v>
      </c>
      <c r="E948">
        <v>3228</v>
      </c>
      <c r="F948">
        <v>887</v>
      </c>
      <c r="G948">
        <v>866</v>
      </c>
      <c r="H948">
        <v>498</v>
      </c>
      <c r="I948">
        <v>0.55983676100000002</v>
      </c>
      <c r="J948">
        <v>1.270941589</v>
      </c>
      <c r="K948">
        <v>3381</v>
      </c>
      <c r="L948">
        <v>2035</v>
      </c>
      <c r="M948" s="2">
        <v>7</v>
      </c>
      <c r="N948">
        <v>0.82798216800000002</v>
      </c>
      <c r="O948">
        <v>0.99899740599999998</v>
      </c>
      <c r="P948" t="b">
        <v>1</v>
      </c>
      <c r="Q948">
        <v>0.85036794800000004</v>
      </c>
      <c r="R948" s="2">
        <v>1</v>
      </c>
      <c r="S948" s="2" t="str">
        <f t="shared" si="57"/>
        <v>Aug</v>
      </c>
      <c r="T948">
        <f t="shared" si="58"/>
        <v>2027</v>
      </c>
      <c r="U948" s="2" t="str">
        <f t="shared" si="59"/>
        <v>Q3</v>
      </c>
      <c r="V948" t="str">
        <f t="shared" si="60"/>
        <v>Completed</v>
      </c>
    </row>
    <row r="949" spans="1:22" x14ac:dyDescent="0.3">
      <c r="A949" s="2">
        <v>948</v>
      </c>
      <c r="B949" s="1">
        <v>46605</v>
      </c>
      <c r="C949" s="2" t="s">
        <v>17</v>
      </c>
      <c r="D949">
        <v>235</v>
      </c>
      <c r="E949">
        <v>2047</v>
      </c>
      <c r="F949">
        <v>1485</v>
      </c>
      <c r="G949">
        <v>630</v>
      </c>
      <c r="H949">
        <v>3812</v>
      </c>
      <c r="I949">
        <v>0.27136384800000002</v>
      </c>
      <c r="J949">
        <v>1.964905538</v>
      </c>
      <c r="K949">
        <v>2868</v>
      </c>
      <c r="L949">
        <v>2767</v>
      </c>
      <c r="M949" s="2">
        <v>3</v>
      </c>
      <c r="N949">
        <v>1.5955995169999999</v>
      </c>
      <c r="O949">
        <v>0.99045131600000003</v>
      </c>
      <c r="P949" t="b">
        <v>1</v>
      </c>
      <c r="Q949">
        <v>2.6369582999999999E-2</v>
      </c>
      <c r="R949" s="2">
        <v>0</v>
      </c>
      <c r="S949" s="2" t="str">
        <f t="shared" si="57"/>
        <v>Aug</v>
      </c>
      <c r="T949">
        <f t="shared" si="58"/>
        <v>2027</v>
      </c>
      <c r="U949" s="2" t="str">
        <f t="shared" si="59"/>
        <v>Q3</v>
      </c>
      <c r="V949" t="str">
        <f t="shared" si="60"/>
        <v>Completed</v>
      </c>
    </row>
    <row r="950" spans="1:22" x14ac:dyDescent="0.3">
      <c r="A950" s="2">
        <v>949</v>
      </c>
      <c r="B950" s="1">
        <v>46606</v>
      </c>
      <c r="C950" s="2" t="s">
        <v>5</v>
      </c>
      <c r="D950">
        <v>1635</v>
      </c>
      <c r="E950">
        <v>2343</v>
      </c>
      <c r="F950">
        <v>1251</v>
      </c>
      <c r="G950">
        <v>4870</v>
      </c>
      <c r="H950">
        <v>651</v>
      </c>
      <c r="I950">
        <v>0.21938519000000001</v>
      </c>
      <c r="J950">
        <v>0.91758589999999995</v>
      </c>
      <c r="K950">
        <v>4380</v>
      </c>
      <c r="L950">
        <v>3854</v>
      </c>
      <c r="M950" s="2">
        <v>2</v>
      </c>
      <c r="N950">
        <v>0.65057231999999998</v>
      </c>
      <c r="O950">
        <v>0.85450648399999996</v>
      </c>
      <c r="P950" t="b">
        <v>1</v>
      </c>
      <c r="Q950">
        <v>0.31255110400000002</v>
      </c>
      <c r="R950" s="2">
        <v>1</v>
      </c>
      <c r="S950" s="2" t="str">
        <f t="shared" si="57"/>
        <v>Aug</v>
      </c>
      <c r="T950">
        <f t="shared" si="58"/>
        <v>2027</v>
      </c>
      <c r="U950" s="2" t="str">
        <f t="shared" si="59"/>
        <v>Q3</v>
      </c>
      <c r="V950" t="str">
        <f t="shared" si="60"/>
        <v>Failed</v>
      </c>
    </row>
    <row r="951" spans="1:22" x14ac:dyDescent="0.3">
      <c r="A951" s="2">
        <v>950</v>
      </c>
      <c r="B951" s="1">
        <v>46607</v>
      </c>
      <c r="C951" s="2" t="s">
        <v>5</v>
      </c>
      <c r="D951">
        <v>2779</v>
      </c>
      <c r="E951">
        <v>673</v>
      </c>
      <c r="F951">
        <v>905</v>
      </c>
      <c r="G951">
        <v>4486</v>
      </c>
      <c r="H951">
        <v>3600</v>
      </c>
      <c r="I951">
        <v>0.355609805</v>
      </c>
      <c r="J951">
        <v>2.99964356</v>
      </c>
      <c r="K951">
        <v>2806</v>
      </c>
      <c r="L951">
        <v>3314</v>
      </c>
      <c r="M951" s="2">
        <v>8</v>
      </c>
      <c r="N951">
        <v>1.1060262000000001</v>
      </c>
      <c r="O951">
        <v>0.99168110099999995</v>
      </c>
      <c r="P951" t="b">
        <v>1</v>
      </c>
      <c r="Q951">
        <v>0.54640228899999999</v>
      </c>
      <c r="R951" s="2">
        <v>1</v>
      </c>
      <c r="S951" s="2" t="str">
        <f t="shared" si="57"/>
        <v>Aug</v>
      </c>
      <c r="T951">
        <f t="shared" si="58"/>
        <v>2027</v>
      </c>
      <c r="U951" s="2" t="str">
        <f t="shared" si="59"/>
        <v>Q3</v>
      </c>
      <c r="V951" t="str">
        <f t="shared" si="60"/>
        <v>Completed</v>
      </c>
    </row>
    <row r="952" spans="1:22" x14ac:dyDescent="0.3">
      <c r="A952" s="2">
        <v>951</v>
      </c>
      <c r="B952" s="1">
        <v>46608</v>
      </c>
      <c r="C952" s="2" t="s">
        <v>5</v>
      </c>
      <c r="D952">
        <v>3032</v>
      </c>
      <c r="E952">
        <v>3475</v>
      </c>
      <c r="F952">
        <v>2061</v>
      </c>
      <c r="G952">
        <v>2105</v>
      </c>
      <c r="H952">
        <v>324</v>
      </c>
      <c r="I952">
        <v>0.28146547999999999</v>
      </c>
      <c r="J952">
        <v>0.64769698399999998</v>
      </c>
      <c r="K952">
        <v>1221</v>
      </c>
      <c r="L952">
        <v>3989</v>
      </c>
      <c r="M952" s="2">
        <v>7</v>
      </c>
      <c r="N952">
        <v>1.1673052639999999</v>
      </c>
      <c r="O952">
        <v>0.97014236200000004</v>
      </c>
      <c r="P952" t="b">
        <v>0</v>
      </c>
      <c r="Q952">
        <v>0.59811937900000001</v>
      </c>
      <c r="R952" s="2">
        <v>1</v>
      </c>
      <c r="S952" s="2" t="str">
        <f t="shared" si="57"/>
        <v>Aug</v>
      </c>
      <c r="T952">
        <f t="shared" si="58"/>
        <v>2027</v>
      </c>
      <c r="U952" s="2" t="str">
        <f t="shared" si="59"/>
        <v>Q3</v>
      </c>
      <c r="V952" t="str">
        <f t="shared" si="60"/>
        <v>Completed</v>
      </c>
    </row>
    <row r="953" spans="1:22" x14ac:dyDescent="0.3">
      <c r="A953" s="2">
        <v>952</v>
      </c>
      <c r="B953" s="1">
        <v>46609</v>
      </c>
      <c r="C953" s="2" t="s">
        <v>18</v>
      </c>
      <c r="D953">
        <v>3790</v>
      </c>
      <c r="E953">
        <v>4155</v>
      </c>
      <c r="F953">
        <v>2515</v>
      </c>
      <c r="G953">
        <v>468</v>
      </c>
      <c r="H953">
        <v>1559</v>
      </c>
      <c r="I953">
        <v>0.64024084299999995</v>
      </c>
      <c r="J953">
        <v>1.8823697690000001</v>
      </c>
      <c r="K953">
        <v>237</v>
      </c>
      <c r="L953">
        <v>2572</v>
      </c>
      <c r="M953" s="2">
        <v>5</v>
      </c>
      <c r="N953">
        <v>1.760876372</v>
      </c>
      <c r="O953">
        <v>0.91806267100000005</v>
      </c>
      <c r="P953" t="b">
        <v>0</v>
      </c>
      <c r="Q953">
        <v>0.75306623100000003</v>
      </c>
      <c r="R953" s="2">
        <v>1</v>
      </c>
      <c r="S953" s="2" t="str">
        <f t="shared" si="57"/>
        <v>Aug</v>
      </c>
      <c r="T953">
        <f t="shared" si="58"/>
        <v>2027</v>
      </c>
      <c r="U953" s="2" t="str">
        <f t="shared" si="59"/>
        <v>Q3</v>
      </c>
      <c r="V953" t="str">
        <f t="shared" si="60"/>
        <v>Completed</v>
      </c>
    </row>
    <row r="954" spans="1:22" x14ac:dyDescent="0.3">
      <c r="A954" s="2">
        <v>953</v>
      </c>
      <c r="B954" s="1">
        <v>46610</v>
      </c>
      <c r="C954" s="2" t="s">
        <v>17</v>
      </c>
      <c r="D954">
        <v>1243</v>
      </c>
      <c r="E954">
        <v>2972</v>
      </c>
      <c r="F954">
        <v>1001</v>
      </c>
      <c r="G954">
        <v>1628</v>
      </c>
      <c r="H954">
        <v>1987</v>
      </c>
      <c r="I954">
        <v>0.73289714699999997</v>
      </c>
      <c r="J954">
        <v>2.0007728490000001</v>
      </c>
      <c r="K954">
        <v>2482</v>
      </c>
      <c r="L954">
        <v>3904</v>
      </c>
      <c r="M954" s="2">
        <v>3</v>
      </c>
      <c r="N954">
        <v>0.800529343</v>
      </c>
      <c r="O954">
        <v>0.80129621299999998</v>
      </c>
      <c r="P954" t="b">
        <v>0</v>
      </c>
      <c r="Q954">
        <v>0.23242027800000001</v>
      </c>
      <c r="R954" s="2">
        <v>1</v>
      </c>
      <c r="S954" s="2" t="str">
        <f t="shared" si="57"/>
        <v>Aug</v>
      </c>
      <c r="T954">
        <f t="shared" si="58"/>
        <v>2027</v>
      </c>
      <c r="U954" s="2" t="str">
        <f t="shared" si="59"/>
        <v>Q3</v>
      </c>
      <c r="V954" t="str">
        <f t="shared" si="60"/>
        <v>Completed</v>
      </c>
    </row>
    <row r="955" spans="1:22" x14ac:dyDescent="0.3">
      <c r="A955" s="2">
        <v>954</v>
      </c>
      <c r="B955" s="1">
        <v>46611</v>
      </c>
      <c r="C955" s="2" t="s">
        <v>5</v>
      </c>
      <c r="D955">
        <v>288</v>
      </c>
      <c r="E955">
        <v>3017</v>
      </c>
      <c r="F955">
        <v>1427</v>
      </c>
      <c r="G955">
        <v>2513</v>
      </c>
      <c r="H955">
        <v>1289</v>
      </c>
      <c r="I955">
        <v>0.47248470599999998</v>
      </c>
      <c r="J955">
        <v>0.517712336</v>
      </c>
      <c r="K955">
        <v>995</v>
      </c>
      <c r="L955">
        <v>3009</v>
      </c>
      <c r="M955" s="2">
        <v>9</v>
      </c>
      <c r="N955">
        <v>1.498380488</v>
      </c>
      <c r="O955">
        <v>0.90308411</v>
      </c>
      <c r="P955" t="b">
        <v>0</v>
      </c>
      <c r="Q955">
        <v>3.7203597999999997E-2</v>
      </c>
      <c r="R955" s="2">
        <v>1</v>
      </c>
      <c r="S955" s="2" t="str">
        <f t="shared" si="57"/>
        <v>Aug</v>
      </c>
      <c r="T955">
        <f t="shared" si="58"/>
        <v>2027</v>
      </c>
      <c r="U955" s="2" t="str">
        <f t="shared" si="59"/>
        <v>Q3</v>
      </c>
      <c r="V955" t="str">
        <f t="shared" si="60"/>
        <v>Completed</v>
      </c>
    </row>
    <row r="956" spans="1:22" x14ac:dyDescent="0.3">
      <c r="A956" s="2">
        <v>955</v>
      </c>
      <c r="B956" s="1">
        <v>46612</v>
      </c>
      <c r="C956" s="2" t="s">
        <v>17</v>
      </c>
      <c r="D956">
        <v>2265</v>
      </c>
      <c r="E956">
        <v>2979</v>
      </c>
      <c r="F956">
        <v>639</v>
      </c>
      <c r="G956">
        <v>4260</v>
      </c>
      <c r="H956">
        <v>2677</v>
      </c>
      <c r="I956">
        <v>0.34953846599999999</v>
      </c>
      <c r="J956">
        <v>1.762913207</v>
      </c>
      <c r="K956">
        <v>1453</v>
      </c>
      <c r="L956">
        <v>771</v>
      </c>
      <c r="M956" s="2">
        <v>8</v>
      </c>
      <c r="N956">
        <v>0.60182617000000005</v>
      </c>
      <c r="O956">
        <v>0.83439439100000001</v>
      </c>
      <c r="P956" t="b">
        <v>0</v>
      </c>
      <c r="Q956">
        <v>0.44133278799999998</v>
      </c>
      <c r="R956" s="2">
        <v>1</v>
      </c>
      <c r="S956" s="2" t="str">
        <f t="shared" si="57"/>
        <v>Aug</v>
      </c>
      <c r="T956">
        <f t="shared" si="58"/>
        <v>2027</v>
      </c>
      <c r="U956" s="2" t="str">
        <f t="shared" si="59"/>
        <v>Q3</v>
      </c>
      <c r="V956" t="str">
        <f t="shared" si="60"/>
        <v>Completed</v>
      </c>
    </row>
    <row r="957" spans="1:22" x14ac:dyDescent="0.3">
      <c r="A957" s="2">
        <v>956</v>
      </c>
      <c r="B957" s="1">
        <v>46613</v>
      </c>
      <c r="C957" s="2" t="s">
        <v>17</v>
      </c>
      <c r="D957">
        <v>4932</v>
      </c>
      <c r="E957">
        <v>2986</v>
      </c>
      <c r="F957">
        <v>2063</v>
      </c>
      <c r="G957">
        <v>2828</v>
      </c>
      <c r="H957">
        <v>3312</v>
      </c>
      <c r="I957">
        <v>0.77693137599999995</v>
      </c>
      <c r="J957">
        <v>2.0210674800000001</v>
      </c>
      <c r="K957">
        <v>1829</v>
      </c>
      <c r="L957">
        <v>2147</v>
      </c>
      <c r="M957" s="2">
        <v>6</v>
      </c>
      <c r="N957">
        <v>1.2772956019999999</v>
      </c>
      <c r="O957">
        <v>0.92619666899999997</v>
      </c>
      <c r="P957" t="b">
        <v>0</v>
      </c>
      <c r="Q957">
        <v>0.98650858500000005</v>
      </c>
      <c r="R957" s="2">
        <v>1</v>
      </c>
      <c r="S957" s="2" t="str">
        <f t="shared" si="57"/>
        <v>Aug</v>
      </c>
      <c r="T957">
        <f t="shared" si="58"/>
        <v>2027</v>
      </c>
      <c r="U957" s="2" t="str">
        <f t="shared" si="59"/>
        <v>Q3</v>
      </c>
      <c r="V957" t="str">
        <f t="shared" si="60"/>
        <v>Completed</v>
      </c>
    </row>
    <row r="958" spans="1:22" x14ac:dyDescent="0.3">
      <c r="A958" s="2">
        <v>957</v>
      </c>
      <c r="B958" s="1">
        <v>46614</v>
      </c>
      <c r="C958" s="2" t="s">
        <v>17</v>
      </c>
      <c r="D958">
        <v>3403</v>
      </c>
      <c r="E958">
        <v>4328</v>
      </c>
      <c r="F958">
        <v>1352</v>
      </c>
      <c r="G958">
        <v>4845</v>
      </c>
      <c r="H958">
        <v>2194</v>
      </c>
      <c r="I958">
        <v>0.43842567399999999</v>
      </c>
      <c r="J958">
        <v>2.0927536519999999</v>
      </c>
      <c r="K958">
        <v>1116</v>
      </c>
      <c r="L958">
        <v>3596</v>
      </c>
      <c r="M958" s="2">
        <v>7</v>
      </c>
      <c r="N958">
        <v>1.4720565919999999</v>
      </c>
      <c r="O958">
        <v>0.85586441800000002</v>
      </c>
      <c r="P958" t="b">
        <v>0</v>
      </c>
      <c r="Q958">
        <v>0.67395748200000005</v>
      </c>
      <c r="R958" s="2">
        <v>1</v>
      </c>
      <c r="S958" s="2" t="str">
        <f t="shared" si="57"/>
        <v>Aug</v>
      </c>
      <c r="T958">
        <f t="shared" si="58"/>
        <v>2027</v>
      </c>
      <c r="U958" s="2" t="str">
        <f t="shared" si="59"/>
        <v>Q3</v>
      </c>
      <c r="V958" t="str">
        <f t="shared" si="60"/>
        <v>Completed</v>
      </c>
    </row>
    <row r="959" spans="1:22" x14ac:dyDescent="0.3">
      <c r="A959" s="2">
        <v>958</v>
      </c>
      <c r="B959" s="1">
        <v>46615</v>
      </c>
      <c r="C959" s="2" t="s">
        <v>5</v>
      </c>
      <c r="D959">
        <v>4479</v>
      </c>
      <c r="E959">
        <v>3313</v>
      </c>
      <c r="F959">
        <v>3902</v>
      </c>
      <c r="G959">
        <v>1838</v>
      </c>
      <c r="H959">
        <v>1595</v>
      </c>
      <c r="I959">
        <v>0.38729690700000002</v>
      </c>
      <c r="J959">
        <v>0.79305663699999995</v>
      </c>
      <c r="K959">
        <v>373</v>
      </c>
      <c r="L959">
        <v>3030</v>
      </c>
      <c r="M959" s="2">
        <v>4</v>
      </c>
      <c r="N959">
        <v>1.7031561</v>
      </c>
      <c r="O959">
        <v>0.96484664200000003</v>
      </c>
      <c r="P959" t="b">
        <v>0</v>
      </c>
      <c r="Q959">
        <v>0.89390842199999998</v>
      </c>
      <c r="R959" s="2">
        <v>1</v>
      </c>
      <c r="S959" s="2" t="str">
        <f t="shared" si="57"/>
        <v>Aug</v>
      </c>
      <c r="T959">
        <f t="shared" si="58"/>
        <v>2027</v>
      </c>
      <c r="U959" s="2" t="str">
        <f t="shared" si="59"/>
        <v>Q3</v>
      </c>
      <c r="V959" t="str">
        <f t="shared" si="60"/>
        <v>Completed</v>
      </c>
    </row>
    <row r="960" spans="1:22" x14ac:dyDescent="0.3">
      <c r="A960" s="2">
        <v>959</v>
      </c>
      <c r="B960" s="1">
        <v>46616</v>
      </c>
      <c r="C960" s="2" t="s">
        <v>17</v>
      </c>
      <c r="D960">
        <v>4287</v>
      </c>
      <c r="E960">
        <v>4171</v>
      </c>
      <c r="F960">
        <v>819</v>
      </c>
      <c r="G960">
        <v>2737</v>
      </c>
      <c r="H960">
        <v>1388</v>
      </c>
      <c r="I960">
        <v>0.78820240600000002</v>
      </c>
      <c r="J960">
        <v>1.467981427</v>
      </c>
      <c r="K960">
        <v>3694</v>
      </c>
      <c r="L960">
        <v>1431</v>
      </c>
      <c r="M960" s="2">
        <v>9</v>
      </c>
      <c r="N960">
        <v>1.6339617420000001</v>
      </c>
      <c r="O960">
        <v>0.97810468699999997</v>
      </c>
      <c r="P960" t="b">
        <v>0</v>
      </c>
      <c r="Q960">
        <v>0.85466067000000001</v>
      </c>
      <c r="R960" s="2">
        <v>1</v>
      </c>
      <c r="S960" s="2" t="str">
        <f t="shared" si="57"/>
        <v>Aug</v>
      </c>
      <c r="T960">
        <f t="shared" si="58"/>
        <v>2027</v>
      </c>
      <c r="U960" s="2" t="str">
        <f t="shared" si="59"/>
        <v>Q3</v>
      </c>
      <c r="V960" t="str">
        <f t="shared" si="60"/>
        <v>Completed</v>
      </c>
    </row>
    <row r="961" spans="1:22" x14ac:dyDescent="0.3">
      <c r="A961" s="2">
        <v>960</v>
      </c>
      <c r="B961" s="1">
        <v>46617</v>
      </c>
      <c r="C961" s="2" t="s">
        <v>17</v>
      </c>
      <c r="D961">
        <v>3110</v>
      </c>
      <c r="E961">
        <v>4410</v>
      </c>
      <c r="F961">
        <v>1385</v>
      </c>
      <c r="G961">
        <v>2882</v>
      </c>
      <c r="H961">
        <v>280</v>
      </c>
      <c r="I961">
        <v>0.47535758500000003</v>
      </c>
      <c r="J961">
        <v>2.048251015</v>
      </c>
      <c r="K961">
        <v>230</v>
      </c>
      <c r="L961">
        <v>2575</v>
      </c>
      <c r="M961" s="2">
        <v>6</v>
      </c>
      <c r="N961">
        <v>1.0619115939999999</v>
      </c>
      <c r="O961">
        <v>0.82807026800000005</v>
      </c>
      <c r="P961" t="b">
        <v>0</v>
      </c>
      <c r="Q961">
        <v>0.614063778</v>
      </c>
      <c r="R961" s="2">
        <v>1</v>
      </c>
      <c r="S961" s="2" t="str">
        <f t="shared" si="57"/>
        <v>Aug</v>
      </c>
      <c r="T961">
        <f t="shared" si="58"/>
        <v>2027</v>
      </c>
      <c r="U961" s="2" t="str">
        <f>"Q"&amp;ROUNDUP(MONTH(B961)/3,0)</f>
        <v>Q3</v>
      </c>
      <c r="V961" t="str">
        <f t="shared" si="60"/>
        <v>Completed</v>
      </c>
    </row>
    <row r="962" spans="1:22" x14ac:dyDescent="0.3">
      <c r="A962" s="2">
        <v>961</v>
      </c>
      <c r="B962" s="1">
        <v>46618</v>
      </c>
      <c r="C962" s="2" t="s">
        <v>17</v>
      </c>
      <c r="D962">
        <v>3387</v>
      </c>
      <c r="E962">
        <v>1086</v>
      </c>
      <c r="F962">
        <v>334</v>
      </c>
      <c r="G962">
        <v>2762</v>
      </c>
      <c r="H962">
        <v>2254</v>
      </c>
      <c r="I962">
        <v>0.334725675</v>
      </c>
      <c r="J962">
        <v>2.8926949500000001</v>
      </c>
      <c r="K962">
        <v>2893</v>
      </c>
      <c r="L962">
        <v>3589</v>
      </c>
      <c r="M962" s="2">
        <v>2</v>
      </c>
      <c r="N962">
        <v>0.96899084099999999</v>
      </c>
      <c r="O962">
        <v>0.83415360199999999</v>
      </c>
      <c r="P962" t="b">
        <v>0</v>
      </c>
      <c r="Q962">
        <v>0.67068683600000001</v>
      </c>
      <c r="R962" s="2">
        <v>1</v>
      </c>
      <c r="S962" s="2" t="str">
        <f t="shared" ref="S962:S1001" si="61">TEXT(B962,"MMM")</f>
        <v>Aug</v>
      </c>
      <c r="T962">
        <f t="shared" ref="T962:T1001" si="62">YEAR(B962)</f>
        <v>2027</v>
      </c>
      <c r="U962" s="2" t="str">
        <f t="shared" ref="U962:U1001" si="63">"Q"&amp;ROUNDUP(MONTH(B962)/3,0)</f>
        <v>Q3</v>
      </c>
      <c r="V962" t="str">
        <f t="shared" si="60"/>
        <v>Completed</v>
      </c>
    </row>
    <row r="963" spans="1:22" x14ac:dyDescent="0.3">
      <c r="A963" s="2">
        <v>962</v>
      </c>
      <c r="B963" s="1">
        <v>46619</v>
      </c>
      <c r="C963" s="2" t="s">
        <v>17</v>
      </c>
      <c r="D963">
        <v>1623</v>
      </c>
      <c r="E963">
        <v>646</v>
      </c>
      <c r="F963">
        <v>2151</v>
      </c>
      <c r="G963">
        <v>2002</v>
      </c>
      <c r="H963">
        <v>2662</v>
      </c>
      <c r="I963">
        <v>0.79346695</v>
      </c>
      <c r="J963">
        <v>2.5820635439999999</v>
      </c>
      <c r="K963">
        <v>1563</v>
      </c>
      <c r="L963">
        <v>697</v>
      </c>
      <c r="M963" s="2">
        <v>9</v>
      </c>
      <c r="N963">
        <v>1.4379690700000001</v>
      </c>
      <c r="O963">
        <v>0.96736843699999997</v>
      </c>
      <c r="P963" t="b">
        <v>0</v>
      </c>
      <c r="Q963">
        <v>0.31009811900000001</v>
      </c>
      <c r="R963" s="2">
        <v>1</v>
      </c>
      <c r="S963" s="2" t="str">
        <f t="shared" si="61"/>
        <v>Aug</v>
      </c>
      <c r="T963">
        <f t="shared" si="62"/>
        <v>2027</v>
      </c>
      <c r="U963" s="2" t="str">
        <f t="shared" si="63"/>
        <v>Q3</v>
      </c>
      <c r="V963" t="str">
        <f t="shared" si="60"/>
        <v>Completed</v>
      </c>
    </row>
    <row r="964" spans="1:22" x14ac:dyDescent="0.3">
      <c r="A964" s="2">
        <v>963</v>
      </c>
      <c r="B964" s="1">
        <v>46620</v>
      </c>
      <c r="C964" s="2" t="s">
        <v>18</v>
      </c>
      <c r="D964">
        <v>1821</v>
      </c>
      <c r="E964">
        <v>929</v>
      </c>
      <c r="F964">
        <v>2818</v>
      </c>
      <c r="G964">
        <v>3539</v>
      </c>
      <c r="H964">
        <v>3655</v>
      </c>
      <c r="I964">
        <v>0.21146981000000001</v>
      </c>
      <c r="J964">
        <v>2.8580247660000002</v>
      </c>
      <c r="K964">
        <v>433</v>
      </c>
      <c r="L964">
        <v>3649</v>
      </c>
      <c r="M964" s="2">
        <v>5</v>
      </c>
      <c r="N964">
        <v>1.1978536689999999</v>
      </c>
      <c r="O964">
        <v>0.88203394899999998</v>
      </c>
      <c r="P964" t="b">
        <v>0</v>
      </c>
      <c r="Q964">
        <v>0.350572363</v>
      </c>
      <c r="R964" s="2">
        <v>1</v>
      </c>
      <c r="S964" s="2" t="str">
        <f t="shared" si="61"/>
        <v>Aug</v>
      </c>
      <c r="T964">
        <f t="shared" si="62"/>
        <v>2027</v>
      </c>
      <c r="U964" s="2" t="str">
        <f t="shared" si="63"/>
        <v>Q3</v>
      </c>
      <c r="V964" t="str">
        <f t="shared" ref="V964:V1001" si="64">IF(R963=1,"Completed","Failed")</f>
        <v>Completed</v>
      </c>
    </row>
    <row r="965" spans="1:22" x14ac:dyDescent="0.3">
      <c r="A965" s="2">
        <v>964</v>
      </c>
      <c r="B965" s="1">
        <v>46621</v>
      </c>
      <c r="C965" s="2" t="s">
        <v>18</v>
      </c>
      <c r="D965">
        <v>2931</v>
      </c>
      <c r="E965">
        <v>1004</v>
      </c>
      <c r="F965">
        <v>1487</v>
      </c>
      <c r="G965">
        <v>4370</v>
      </c>
      <c r="H965">
        <v>3111</v>
      </c>
      <c r="I965">
        <v>0.69040489500000002</v>
      </c>
      <c r="J965">
        <v>1.5688905849999999</v>
      </c>
      <c r="K965">
        <v>2181</v>
      </c>
      <c r="L965">
        <v>1857</v>
      </c>
      <c r="M965" s="2">
        <v>5</v>
      </c>
      <c r="N965">
        <v>0.71048447199999998</v>
      </c>
      <c r="O965">
        <v>0.91943990200000003</v>
      </c>
      <c r="P965" t="b">
        <v>0</v>
      </c>
      <c r="Q965">
        <v>0.57747342599999996</v>
      </c>
      <c r="R965" s="2">
        <v>1</v>
      </c>
      <c r="S965" s="2" t="str">
        <f t="shared" si="61"/>
        <v>Aug</v>
      </c>
      <c r="T965">
        <f t="shared" si="62"/>
        <v>2027</v>
      </c>
      <c r="U965" s="2" t="str">
        <f t="shared" si="63"/>
        <v>Q3</v>
      </c>
      <c r="V965" t="str">
        <f t="shared" si="64"/>
        <v>Completed</v>
      </c>
    </row>
    <row r="966" spans="1:22" x14ac:dyDescent="0.3">
      <c r="A966" s="2">
        <v>965</v>
      </c>
      <c r="B966" s="1">
        <v>46622</v>
      </c>
      <c r="C966" s="2" t="s">
        <v>5</v>
      </c>
      <c r="D966">
        <v>1632</v>
      </c>
      <c r="E966">
        <v>4406</v>
      </c>
      <c r="F966">
        <v>759</v>
      </c>
      <c r="G966">
        <v>2354</v>
      </c>
      <c r="H966">
        <v>3133</v>
      </c>
      <c r="I966">
        <v>0.20796537400000001</v>
      </c>
      <c r="J966">
        <v>2.1784801809999998</v>
      </c>
      <c r="K966">
        <v>1444</v>
      </c>
      <c r="L966">
        <v>3186</v>
      </c>
      <c r="M966" s="2">
        <v>1</v>
      </c>
      <c r="N966">
        <v>0.83578428800000004</v>
      </c>
      <c r="O966">
        <v>0.81753910799999996</v>
      </c>
      <c r="P966" t="b">
        <v>0</v>
      </c>
      <c r="Q966">
        <v>0.31193785800000001</v>
      </c>
      <c r="R966" s="2">
        <v>1</v>
      </c>
      <c r="S966" s="2" t="str">
        <f t="shared" si="61"/>
        <v>Aug</v>
      </c>
      <c r="T966">
        <f t="shared" si="62"/>
        <v>2027</v>
      </c>
      <c r="U966" s="2" t="str">
        <f t="shared" si="63"/>
        <v>Q3</v>
      </c>
      <c r="V966" t="str">
        <f t="shared" si="64"/>
        <v>Completed</v>
      </c>
    </row>
    <row r="967" spans="1:22" x14ac:dyDescent="0.3">
      <c r="A967" s="2">
        <v>966</v>
      </c>
      <c r="B967" s="1">
        <v>46623</v>
      </c>
      <c r="C967" s="2" t="s">
        <v>17</v>
      </c>
      <c r="D967">
        <v>4825</v>
      </c>
      <c r="E967">
        <v>2984</v>
      </c>
      <c r="F967">
        <v>1756</v>
      </c>
      <c r="G967">
        <v>4221</v>
      </c>
      <c r="H967">
        <v>763</v>
      </c>
      <c r="I967">
        <v>0.523003624</v>
      </c>
      <c r="J967">
        <v>1.560755151</v>
      </c>
      <c r="K967">
        <v>3926</v>
      </c>
      <c r="L967">
        <v>213</v>
      </c>
      <c r="M967" s="2">
        <v>6</v>
      </c>
      <c r="N967">
        <v>1.7833235080000001</v>
      </c>
      <c r="O967">
        <v>0.98001937900000002</v>
      </c>
      <c r="P967" t="b">
        <v>0</v>
      </c>
      <c r="Q967">
        <v>0.96463614099999995</v>
      </c>
      <c r="R967" s="2">
        <v>1</v>
      </c>
      <c r="S967" s="2" t="str">
        <f t="shared" si="61"/>
        <v>Aug</v>
      </c>
      <c r="T967">
        <f t="shared" si="62"/>
        <v>2027</v>
      </c>
      <c r="U967" s="2" t="str">
        <f t="shared" si="63"/>
        <v>Q3</v>
      </c>
      <c r="V967" t="str">
        <f t="shared" si="64"/>
        <v>Completed</v>
      </c>
    </row>
    <row r="968" spans="1:22" x14ac:dyDescent="0.3">
      <c r="A968" s="2">
        <v>967</v>
      </c>
      <c r="B968" s="1">
        <v>46624</v>
      </c>
      <c r="C968" s="2" t="s">
        <v>18</v>
      </c>
      <c r="D968">
        <v>1783</v>
      </c>
      <c r="E968">
        <v>529</v>
      </c>
      <c r="F968">
        <v>3627</v>
      </c>
      <c r="G968">
        <v>1426</v>
      </c>
      <c r="H968">
        <v>912</v>
      </c>
      <c r="I968">
        <v>0.491087365</v>
      </c>
      <c r="J968">
        <v>2.0727262080000002</v>
      </c>
      <c r="K968">
        <v>294</v>
      </c>
      <c r="L968">
        <v>3071</v>
      </c>
      <c r="M968" s="2">
        <v>8</v>
      </c>
      <c r="N968">
        <v>0.85646883100000004</v>
      </c>
      <c r="O968">
        <v>0.82379554899999996</v>
      </c>
      <c r="P968" t="b">
        <v>0</v>
      </c>
      <c r="Q968">
        <v>0.342804579</v>
      </c>
      <c r="R968" s="2">
        <v>1</v>
      </c>
      <c r="S968" s="2" t="str">
        <f t="shared" si="61"/>
        <v>Aug</v>
      </c>
      <c r="T968">
        <f t="shared" si="62"/>
        <v>2027</v>
      </c>
      <c r="U968" s="2" t="str">
        <f t="shared" si="63"/>
        <v>Q3</v>
      </c>
      <c r="V968" t="str">
        <f t="shared" si="64"/>
        <v>Completed</v>
      </c>
    </row>
    <row r="969" spans="1:22" x14ac:dyDescent="0.3">
      <c r="A969" s="2">
        <v>968</v>
      </c>
      <c r="B969" s="1">
        <v>46625</v>
      </c>
      <c r="C969" s="2" t="s">
        <v>5</v>
      </c>
      <c r="D969">
        <v>2301</v>
      </c>
      <c r="E969">
        <v>1120</v>
      </c>
      <c r="F969">
        <v>298</v>
      </c>
      <c r="G969">
        <v>694</v>
      </c>
      <c r="H969">
        <v>539</v>
      </c>
      <c r="I969">
        <v>0.65534598899999996</v>
      </c>
      <c r="J969">
        <v>1.7307508190000001</v>
      </c>
      <c r="K969">
        <v>2840</v>
      </c>
      <c r="L969">
        <v>1072</v>
      </c>
      <c r="M969" s="2">
        <v>5</v>
      </c>
      <c r="N969">
        <v>1.212585147</v>
      </c>
      <c r="O969">
        <v>0.93652169299999999</v>
      </c>
      <c r="P969" t="b">
        <v>0</v>
      </c>
      <c r="Q969">
        <v>0.448691742</v>
      </c>
      <c r="R969" s="2">
        <v>1</v>
      </c>
      <c r="S969" s="2" t="str">
        <f t="shared" si="61"/>
        <v>Aug</v>
      </c>
      <c r="T969">
        <f t="shared" si="62"/>
        <v>2027</v>
      </c>
      <c r="U969" s="2" t="str">
        <f t="shared" si="63"/>
        <v>Q3</v>
      </c>
      <c r="V969" t="str">
        <f t="shared" si="64"/>
        <v>Completed</v>
      </c>
    </row>
    <row r="970" spans="1:22" x14ac:dyDescent="0.3">
      <c r="A970" s="2">
        <v>969</v>
      </c>
      <c r="B970" s="1">
        <v>46626</v>
      </c>
      <c r="C970" s="2" t="s">
        <v>18</v>
      </c>
      <c r="D970">
        <v>138</v>
      </c>
      <c r="E970">
        <v>1936</v>
      </c>
      <c r="F970">
        <v>2391</v>
      </c>
      <c r="G970">
        <v>858</v>
      </c>
      <c r="H970">
        <v>1472</v>
      </c>
      <c r="I970">
        <v>0.56997881500000003</v>
      </c>
      <c r="J970">
        <v>2.2384669129999999</v>
      </c>
      <c r="K970">
        <v>3906</v>
      </c>
      <c r="L970">
        <v>193</v>
      </c>
      <c r="M970" s="2">
        <v>5</v>
      </c>
      <c r="N970">
        <v>0.94042759899999995</v>
      </c>
      <c r="O970">
        <v>0.934210769</v>
      </c>
      <c r="P970" t="b">
        <v>0</v>
      </c>
      <c r="Q970">
        <v>6.5412919999999998E-3</v>
      </c>
      <c r="R970" s="2">
        <v>1</v>
      </c>
      <c r="S970" s="2" t="str">
        <f t="shared" si="61"/>
        <v>Aug</v>
      </c>
      <c r="T970">
        <f t="shared" si="62"/>
        <v>2027</v>
      </c>
      <c r="U970" s="2" t="str">
        <f t="shared" si="63"/>
        <v>Q3</v>
      </c>
      <c r="V970" t="str">
        <f t="shared" si="64"/>
        <v>Completed</v>
      </c>
    </row>
    <row r="971" spans="1:22" x14ac:dyDescent="0.3">
      <c r="A971" s="2">
        <v>970</v>
      </c>
      <c r="B971" s="1">
        <v>46627</v>
      </c>
      <c r="C971" s="2" t="s">
        <v>16</v>
      </c>
      <c r="D971">
        <v>4352</v>
      </c>
      <c r="E971">
        <v>3685</v>
      </c>
      <c r="F971">
        <v>3423</v>
      </c>
      <c r="G971">
        <v>1263</v>
      </c>
      <c r="H971">
        <v>1358</v>
      </c>
      <c r="I971">
        <v>0.46553177299999998</v>
      </c>
      <c r="J971">
        <v>1.9007492420000001</v>
      </c>
      <c r="K971">
        <v>3870</v>
      </c>
      <c r="L971">
        <v>2666</v>
      </c>
      <c r="M971" s="2">
        <v>8</v>
      </c>
      <c r="N971">
        <v>1.3173127440000001</v>
      </c>
      <c r="O971">
        <v>0.83195533099999996</v>
      </c>
      <c r="P971" t="b">
        <v>0</v>
      </c>
      <c r="Q971">
        <v>0.86794766999999995</v>
      </c>
      <c r="R971" s="2">
        <v>1</v>
      </c>
      <c r="S971" s="2" t="str">
        <f t="shared" si="61"/>
        <v>Aug</v>
      </c>
      <c r="T971">
        <f t="shared" si="62"/>
        <v>2027</v>
      </c>
      <c r="U971" s="2" t="str">
        <f t="shared" si="63"/>
        <v>Q3</v>
      </c>
      <c r="V971" t="str">
        <f t="shared" si="64"/>
        <v>Completed</v>
      </c>
    </row>
    <row r="972" spans="1:22" x14ac:dyDescent="0.3">
      <c r="A972" s="2">
        <v>971</v>
      </c>
      <c r="B972" s="1">
        <v>46628</v>
      </c>
      <c r="C972" s="2" t="s">
        <v>17</v>
      </c>
      <c r="D972">
        <v>2974</v>
      </c>
      <c r="E972">
        <v>2600</v>
      </c>
      <c r="F972">
        <v>226</v>
      </c>
      <c r="G972">
        <v>4398</v>
      </c>
      <c r="H972">
        <v>1982</v>
      </c>
      <c r="I972">
        <v>0.75739421900000004</v>
      </c>
      <c r="J972">
        <v>2.619147092</v>
      </c>
      <c r="K972">
        <v>1733</v>
      </c>
      <c r="L972">
        <v>2862</v>
      </c>
      <c r="M972" s="2">
        <v>8</v>
      </c>
      <c r="N972">
        <v>1.6513586389999999</v>
      </c>
      <c r="O972">
        <v>0.89106454300000004</v>
      </c>
      <c r="P972" t="b">
        <v>0</v>
      </c>
      <c r="Q972">
        <v>0.58626328699999997</v>
      </c>
      <c r="R972" s="2">
        <v>1</v>
      </c>
      <c r="S972" s="2" t="str">
        <f t="shared" si="61"/>
        <v>Aug</v>
      </c>
      <c r="T972">
        <f t="shared" si="62"/>
        <v>2027</v>
      </c>
      <c r="U972" s="2" t="str">
        <f t="shared" si="63"/>
        <v>Q3</v>
      </c>
      <c r="V972" t="str">
        <f t="shared" si="64"/>
        <v>Completed</v>
      </c>
    </row>
    <row r="973" spans="1:22" x14ac:dyDescent="0.3">
      <c r="A973" s="2">
        <v>972</v>
      </c>
      <c r="B973" s="1">
        <v>46629</v>
      </c>
      <c r="C973" s="2" t="s">
        <v>16</v>
      </c>
      <c r="D973">
        <v>3023</v>
      </c>
      <c r="E973">
        <v>2367</v>
      </c>
      <c r="F973">
        <v>3845</v>
      </c>
      <c r="G973">
        <v>1565</v>
      </c>
      <c r="H973">
        <v>2442</v>
      </c>
      <c r="I973">
        <v>0.54928932500000005</v>
      </c>
      <c r="J973">
        <v>2.7850975490000001</v>
      </c>
      <c r="K973">
        <v>3358</v>
      </c>
      <c r="L973">
        <v>2831</v>
      </c>
      <c r="M973" s="2">
        <v>7</v>
      </c>
      <c r="N973">
        <v>1.0252934149999999</v>
      </c>
      <c r="O973">
        <v>0.86019514799999997</v>
      </c>
      <c r="P973" t="b">
        <v>0</v>
      </c>
      <c r="Q973">
        <v>0.59627964</v>
      </c>
      <c r="R973" s="2">
        <v>1</v>
      </c>
      <c r="S973" s="2" t="str">
        <f t="shared" si="61"/>
        <v>Aug</v>
      </c>
      <c r="T973">
        <f t="shared" si="62"/>
        <v>2027</v>
      </c>
      <c r="U973" s="2" t="str">
        <f t="shared" si="63"/>
        <v>Q3</v>
      </c>
      <c r="V973" t="str">
        <f t="shared" si="64"/>
        <v>Completed</v>
      </c>
    </row>
    <row r="974" spans="1:22" x14ac:dyDescent="0.3">
      <c r="A974" s="2">
        <v>973</v>
      </c>
      <c r="B974" s="1">
        <v>46630</v>
      </c>
      <c r="C974" s="2" t="s">
        <v>18</v>
      </c>
      <c r="D974">
        <v>3906</v>
      </c>
      <c r="E974">
        <v>3918</v>
      </c>
      <c r="F974">
        <v>1980</v>
      </c>
      <c r="G974">
        <v>3828</v>
      </c>
      <c r="H974">
        <v>2148</v>
      </c>
      <c r="I974">
        <v>0.42298129499999998</v>
      </c>
      <c r="J974">
        <v>0.50060522500000004</v>
      </c>
      <c r="K974">
        <v>4400</v>
      </c>
      <c r="L974">
        <v>1973</v>
      </c>
      <c r="M974" s="2">
        <v>6</v>
      </c>
      <c r="N974">
        <v>1.5156512120000001</v>
      </c>
      <c r="O974">
        <v>0.946796305</v>
      </c>
      <c r="P974" t="b">
        <v>0</v>
      </c>
      <c r="Q974">
        <v>0.77677841400000003</v>
      </c>
      <c r="R974" s="2">
        <v>1</v>
      </c>
      <c r="S974" s="2" t="str">
        <f t="shared" si="61"/>
        <v>Aug</v>
      </c>
      <c r="T974">
        <f t="shared" si="62"/>
        <v>2027</v>
      </c>
      <c r="U974" s="2" t="str">
        <f t="shared" si="63"/>
        <v>Q3</v>
      </c>
      <c r="V974" t="str">
        <f t="shared" si="64"/>
        <v>Completed</v>
      </c>
    </row>
    <row r="975" spans="1:22" x14ac:dyDescent="0.3">
      <c r="A975" s="2">
        <v>974</v>
      </c>
      <c r="B975" s="1">
        <v>46631</v>
      </c>
      <c r="C975" s="2" t="s">
        <v>17</v>
      </c>
      <c r="D975">
        <v>1892</v>
      </c>
      <c r="E975">
        <v>1975</v>
      </c>
      <c r="F975">
        <v>517</v>
      </c>
      <c r="G975">
        <v>1568</v>
      </c>
      <c r="H975">
        <v>3399</v>
      </c>
      <c r="I975">
        <v>0.71278619300000001</v>
      </c>
      <c r="J975">
        <v>2.730470403</v>
      </c>
      <c r="K975">
        <v>653</v>
      </c>
      <c r="L975">
        <v>3474</v>
      </c>
      <c r="M975" s="2">
        <v>6</v>
      </c>
      <c r="N975">
        <v>1.819415301</v>
      </c>
      <c r="O975">
        <v>0.96199346399999996</v>
      </c>
      <c r="P975" t="b">
        <v>0</v>
      </c>
      <c r="Q975">
        <v>0.36508585399999999</v>
      </c>
      <c r="R975" s="2">
        <v>1</v>
      </c>
      <c r="S975" s="2" t="str">
        <f t="shared" si="61"/>
        <v>Sep</v>
      </c>
      <c r="T975">
        <f t="shared" si="62"/>
        <v>2027</v>
      </c>
      <c r="U975" s="2" t="str">
        <f t="shared" si="63"/>
        <v>Q3</v>
      </c>
      <c r="V975" t="str">
        <f t="shared" si="64"/>
        <v>Completed</v>
      </c>
    </row>
    <row r="976" spans="1:22" x14ac:dyDescent="0.3">
      <c r="A976" s="2">
        <v>975</v>
      </c>
      <c r="B976" s="1">
        <v>46632</v>
      </c>
      <c r="C976" s="2" t="s">
        <v>17</v>
      </c>
      <c r="D976">
        <v>2372</v>
      </c>
      <c r="E976">
        <v>1815</v>
      </c>
      <c r="F976">
        <v>1944</v>
      </c>
      <c r="G976">
        <v>1387</v>
      </c>
      <c r="H976">
        <v>2685</v>
      </c>
      <c r="I976">
        <v>0.41135950199999999</v>
      </c>
      <c r="J976">
        <v>2.0677515070000001</v>
      </c>
      <c r="K976">
        <v>134</v>
      </c>
      <c r="L976">
        <v>2669</v>
      </c>
      <c r="M976" s="2">
        <v>6</v>
      </c>
      <c r="N976">
        <v>0.96747907300000002</v>
      </c>
      <c r="O976">
        <v>0.85494066000000002</v>
      </c>
      <c r="P976" t="b">
        <v>0</v>
      </c>
      <c r="Q976">
        <v>0.46320523299999999</v>
      </c>
      <c r="R976" s="2">
        <v>1</v>
      </c>
      <c r="S976" s="2" t="str">
        <f t="shared" si="61"/>
        <v>Sep</v>
      </c>
      <c r="T976">
        <f t="shared" si="62"/>
        <v>2027</v>
      </c>
      <c r="U976" s="2" t="str">
        <f t="shared" si="63"/>
        <v>Q3</v>
      </c>
      <c r="V976" t="str">
        <f t="shared" si="64"/>
        <v>Completed</v>
      </c>
    </row>
    <row r="977" spans="1:22" x14ac:dyDescent="0.3">
      <c r="A977" s="2">
        <v>976</v>
      </c>
      <c r="B977" s="1">
        <v>46633</v>
      </c>
      <c r="C977" s="2" t="s">
        <v>18</v>
      </c>
      <c r="D977">
        <v>3780</v>
      </c>
      <c r="E977">
        <v>3428</v>
      </c>
      <c r="F977">
        <v>1742</v>
      </c>
      <c r="G977">
        <v>2366</v>
      </c>
      <c r="H977">
        <v>3218</v>
      </c>
      <c r="I977">
        <v>0.43731757999999998</v>
      </c>
      <c r="J977">
        <v>2.1978665839999998</v>
      </c>
      <c r="K977">
        <v>4228</v>
      </c>
      <c r="L977">
        <v>1715</v>
      </c>
      <c r="M977" s="2">
        <v>9</v>
      </c>
      <c r="N977">
        <v>1.8482002580000001</v>
      </c>
      <c r="O977">
        <v>0.92287183900000003</v>
      </c>
      <c r="P977" t="b">
        <v>0</v>
      </c>
      <c r="Q977">
        <v>0.75102207700000001</v>
      </c>
      <c r="R977" s="2">
        <v>1</v>
      </c>
      <c r="S977" s="2" t="str">
        <f t="shared" si="61"/>
        <v>Sep</v>
      </c>
      <c r="T977">
        <f t="shared" si="62"/>
        <v>2027</v>
      </c>
      <c r="U977" s="2" t="str">
        <f t="shared" si="63"/>
        <v>Q3</v>
      </c>
      <c r="V977" t="str">
        <f t="shared" si="64"/>
        <v>Completed</v>
      </c>
    </row>
    <row r="978" spans="1:22" x14ac:dyDescent="0.3">
      <c r="A978" s="2">
        <v>977</v>
      </c>
      <c r="B978" s="1">
        <v>46634</v>
      </c>
      <c r="C978" s="2" t="s">
        <v>16</v>
      </c>
      <c r="D978">
        <v>1765</v>
      </c>
      <c r="E978">
        <v>4114</v>
      </c>
      <c r="F978">
        <v>1365</v>
      </c>
      <c r="G978">
        <v>3323</v>
      </c>
      <c r="H978">
        <v>3337</v>
      </c>
      <c r="I978">
        <v>0.77187504600000001</v>
      </c>
      <c r="J978">
        <v>1.1612610990000001</v>
      </c>
      <c r="K978">
        <v>1883</v>
      </c>
      <c r="L978">
        <v>2534</v>
      </c>
      <c r="M978" s="2">
        <v>6</v>
      </c>
      <c r="N978">
        <v>0.70157004199999995</v>
      </c>
      <c r="O978">
        <v>0.93338271399999995</v>
      </c>
      <c r="P978" t="b">
        <v>0</v>
      </c>
      <c r="Q978">
        <v>0.33912510200000001</v>
      </c>
      <c r="R978" s="2">
        <v>1</v>
      </c>
      <c r="S978" s="2" t="str">
        <f t="shared" si="61"/>
        <v>Sep</v>
      </c>
      <c r="T978">
        <f t="shared" si="62"/>
        <v>2027</v>
      </c>
      <c r="U978" s="2" t="str">
        <f t="shared" si="63"/>
        <v>Q3</v>
      </c>
      <c r="V978" t="str">
        <f t="shared" si="64"/>
        <v>Completed</v>
      </c>
    </row>
    <row r="979" spans="1:22" x14ac:dyDescent="0.3">
      <c r="A979" s="2">
        <v>978</v>
      </c>
      <c r="B979" s="1">
        <v>46635</v>
      </c>
      <c r="C979" s="2" t="s">
        <v>18</v>
      </c>
      <c r="D979">
        <v>429</v>
      </c>
      <c r="E979">
        <v>4266</v>
      </c>
      <c r="F979">
        <v>3402</v>
      </c>
      <c r="G979">
        <v>505</v>
      </c>
      <c r="H979">
        <v>3253</v>
      </c>
      <c r="I979">
        <v>0.70883915099999995</v>
      </c>
      <c r="J979">
        <v>1.4010118069999999</v>
      </c>
      <c r="K979">
        <v>689</v>
      </c>
      <c r="L979">
        <v>426</v>
      </c>
      <c r="M979" s="2">
        <v>9</v>
      </c>
      <c r="N979">
        <v>1.794042581</v>
      </c>
      <c r="O979">
        <v>0.83360870399999998</v>
      </c>
      <c r="P979" t="b">
        <v>0</v>
      </c>
      <c r="Q979">
        <v>6.6026164999999998E-2</v>
      </c>
      <c r="R979" s="2">
        <v>1</v>
      </c>
      <c r="S979" s="2" t="str">
        <f t="shared" si="61"/>
        <v>Sep</v>
      </c>
      <c r="T979">
        <f t="shared" si="62"/>
        <v>2027</v>
      </c>
      <c r="U979" s="2" t="str">
        <f t="shared" si="63"/>
        <v>Q3</v>
      </c>
      <c r="V979" t="str">
        <f t="shared" si="64"/>
        <v>Completed</v>
      </c>
    </row>
    <row r="980" spans="1:22" x14ac:dyDescent="0.3">
      <c r="A980" s="2">
        <v>979</v>
      </c>
      <c r="B980" s="1">
        <v>46636</v>
      </c>
      <c r="C980" s="2" t="s">
        <v>16</v>
      </c>
      <c r="D980">
        <v>2205</v>
      </c>
      <c r="E980">
        <v>863</v>
      </c>
      <c r="F980">
        <v>3175</v>
      </c>
      <c r="G980">
        <v>1507</v>
      </c>
      <c r="H980">
        <v>2403</v>
      </c>
      <c r="I980">
        <v>0.57292957099999997</v>
      </c>
      <c r="J980">
        <v>1.9672421170000001</v>
      </c>
      <c r="K980">
        <v>1525</v>
      </c>
      <c r="L980">
        <v>3034</v>
      </c>
      <c r="M980" s="2">
        <v>7</v>
      </c>
      <c r="N980">
        <v>1.1313216049999999</v>
      </c>
      <c r="O980">
        <v>0.931432076</v>
      </c>
      <c r="P980" t="b">
        <v>0</v>
      </c>
      <c r="Q980">
        <v>0.42906786600000002</v>
      </c>
      <c r="R980" s="2">
        <v>1</v>
      </c>
      <c r="S980" s="2" t="str">
        <f t="shared" si="61"/>
        <v>Sep</v>
      </c>
      <c r="T980">
        <f t="shared" si="62"/>
        <v>2027</v>
      </c>
      <c r="U980" s="2" t="str">
        <f t="shared" si="63"/>
        <v>Q3</v>
      </c>
      <c r="V980" t="str">
        <f t="shared" si="64"/>
        <v>Completed</v>
      </c>
    </row>
    <row r="981" spans="1:22" x14ac:dyDescent="0.3">
      <c r="A981" s="2">
        <v>980</v>
      </c>
      <c r="B981" s="1">
        <v>46637</v>
      </c>
      <c r="C981" s="2" t="s">
        <v>16</v>
      </c>
      <c r="D981">
        <v>2639</v>
      </c>
      <c r="E981">
        <v>2183</v>
      </c>
      <c r="F981">
        <v>2829</v>
      </c>
      <c r="G981">
        <v>2610</v>
      </c>
      <c r="H981">
        <v>2618</v>
      </c>
      <c r="I981">
        <v>0.33294354100000001</v>
      </c>
      <c r="J981">
        <v>1.036095465</v>
      </c>
      <c r="K981">
        <v>2122</v>
      </c>
      <c r="L981">
        <v>1647</v>
      </c>
      <c r="M981" s="2">
        <v>7</v>
      </c>
      <c r="N981">
        <v>0.93618345300000005</v>
      </c>
      <c r="O981">
        <v>0.80280236699999996</v>
      </c>
      <c r="P981" t="b">
        <v>0</v>
      </c>
      <c r="Q981">
        <v>0.51778413700000003</v>
      </c>
      <c r="R981" s="2">
        <v>1</v>
      </c>
      <c r="S981" s="2" t="str">
        <f t="shared" si="61"/>
        <v>Sep</v>
      </c>
      <c r="T981">
        <f t="shared" si="62"/>
        <v>2027</v>
      </c>
      <c r="U981" s="2" t="str">
        <f t="shared" si="63"/>
        <v>Q3</v>
      </c>
      <c r="V981" t="str">
        <f t="shared" si="64"/>
        <v>Completed</v>
      </c>
    </row>
    <row r="982" spans="1:22" x14ac:dyDescent="0.3">
      <c r="A982" s="2">
        <v>981</v>
      </c>
      <c r="B982" s="1">
        <v>46638</v>
      </c>
      <c r="C982" s="2" t="s">
        <v>16</v>
      </c>
      <c r="D982">
        <v>290</v>
      </c>
      <c r="E982">
        <v>4329</v>
      </c>
      <c r="F982">
        <v>2306</v>
      </c>
      <c r="G982">
        <v>4898</v>
      </c>
      <c r="H982">
        <v>2751</v>
      </c>
      <c r="I982">
        <v>0.56732908100000001</v>
      </c>
      <c r="J982">
        <v>2.7694511579999999</v>
      </c>
      <c r="K982">
        <v>2002</v>
      </c>
      <c r="L982">
        <v>644</v>
      </c>
      <c r="M982" s="2">
        <v>7</v>
      </c>
      <c r="N982">
        <v>1.5578331080000001</v>
      </c>
      <c r="O982">
        <v>0.850228659</v>
      </c>
      <c r="P982" t="b">
        <v>0</v>
      </c>
      <c r="Q982">
        <v>3.7612428000000003E-2</v>
      </c>
      <c r="R982" s="2">
        <v>1</v>
      </c>
      <c r="S982" s="2" t="str">
        <f t="shared" si="61"/>
        <v>Sep</v>
      </c>
      <c r="T982">
        <f t="shared" si="62"/>
        <v>2027</v>
      </c>
      <c r="U982" s="2" t="str">
        <f t="shared" si="63"/>
        <v>Q3</v>
      </c>
      <c r="V982" t="str">
        <f t="shared" si="64"/>
        <v>Completed</v>
      </c>
    </row>
    <row r="983" spans="1:22" x14ac:dyDescent="0.3">
      <c r="A983" s="2">
        <v>982</v>
      </c>
      <c r="B983" s="1">
        <v>46639</v>
      </c>
      <c r="C983" s="2" t="s">
        <v>16</v>
      </c>
      <c r="D983">
        <v>4858</v>
      </c>
      <c r="E983">
        <v>1110</v>
      </c>
      <c r="F983">
        <v>2557</v>
      </c>
      <c r="G983">
        <v>1978</v>
      </c>
      <c r="H983">
        <v>3549</v>
      </c>
      <c r="I983">
        <v>0.63426151799999997</v>
      </c>
      <c r="J983">
        <v>1.386721442</v>
      </c>
      <c r="K983">
        <v>2525</v>
      </c>
      <c r="L983">
        <v>2548</v>
      </c>
      <c r="M983" s="2">
        <v>8</v>
      </c>
      <c r="N983">
        <v>1.7885218970000001</v>
      </c>
      <c r="O983">
        <v>0.93995661900000005</v>
      </c>
      <c r="P983" t="b">
        <v>0</v>
      </c>
      <c r="Q983">
        <v>0.97138184800000005</v>
      </c>
      <c r="R983" s="2">
        <v>1</v>
      </c>
      <c r="S983" s="2" t="str">
        <f t="shared" si="61"/>
        <v>Sep</v>
      </c>
      <c r="T983">
        <f t="shared" si="62"/>
        <v>2027</v>
      </c>
      <c r="U983" s="2" t="str">
        <f t="shared" si="63"/>
        <v>Q3</v>
      </c>
      <c r="V983" t="str">
        <f t="shared" si="64"/>
        <v>Completed</v>
      </c>
    </row>
    <row r="984" spans="1:22" x14ac:dyDescent="0.3">
      <c r="A984" s="2">
        <v>983</v>
      </c>
      <c r="B984" s="1">
        <v>46640</v>
      </c>
      <c r="C984" s="2" t="s">
        <v>5</v>
      </c>
      <c r="D984">
        <v>4314</v>
      </c>
      <c r="E984">
        <v>3324</v>
      </c>
      <c r="F984">
        <v>1847</v>
      </c>
      <c r="G984">
        <v>883</v>
      </c>
      <c r="H984">
        <v>1522</v>
      </c>
      <c r="I984">
        <v>0.59225162200000003</v>
      </c>
      <c r="J984">
        <v>2.3908552830000001</v>
      </c>
      <c r="K984">
        <v>4510</v>
      </c>
      <c r="L984">
        <v>2049</v>
      </c>
      <c r="M984" s="2">
        <v>9</v>
      </c>
      <c r="N984">
        <v>1.8970139909999999</v>
      </c>
      <c r="O984">
        <v>0.92605479199999996</v>
      </c>
      <c r="P984" t="b">
        <v>0</v>
      </c>
      <c r="Q984">
        <v>0.86017988599999995</v>
      </c>
      <c r="R984" s="2">
        <v>1</v>
      </c>
      <c r="S984" s="2" t="str">
        <f t="shared" si="61"/>
        <v>Sep</v>
      </c>
      <c r="T984">
        <f t="shared" si="62"/>
        <v>2027</v>
      </c>
      <c r="U984" s="2" t="str">
        <f t="shared" si="63"/>
        <v>Q3</v>
      </c>
      <c r="V984" t="str">
        <f t="shared" si="64"/>
        <v>Completed</v>
      </c>
    </row>
    <row r="985" spans="1:22" x14ac:dyDescent="0.3">
      <c r="A985" s="2">
        <v>984</v>
      </c>
      <c r="B985" s="1">
        <v>46641</v>
      </c>
      <c r="C985" s="2" t="s">
        <v>18</v>
      </c>
      <c r="D985">
        <v>4706</v>
      </c>
      <c r="E985">
        <v>2399</v>
      </c>
      <c r="F985">
        <v>2444</v>
      </c>
      <c r="G985">
        <v>2141</v>
      </c>
      <c r="H985">
        <v>346</v>
      </c>
      <c r="I985">
        <v>0.61476615499999998</v>
      </c>
      <c r="J985">
        <v>1.5460250280000001</v>
      </c>
      <c r="K985">
        <v>3781</v>
      </c>
      <c r="L985">
        <v>1558</v>
      </c>
      <c r="M985" s="2">
        <v>7</v>
      </c>
      <c r="N985">
        <v>1.8387018159999999</v>
      </c>
      <c r="O985">
        <v>0.912136697</v>
      </c>
      <c r="P985" t="b">
        <v>0</v>
      </c>
      <c r="Q985">
        <v>0.94031071099999997</v>
      </c>
      <c r="R985" s="2">
        <v>1</v>
      </c>
      <c r="S985" s="2" t="str">
        <f t="shared" si="61"/>
        <v>Sep</v>
      </c>
      <c r="T985">
        <f t="shared" si="62"/>
        <v>2027</v>
      </c>
      <c r="U985" s="2" t="str">
        <f>"Q"&amp;ROUNDUP(MONTH(B985)/3,0)</f>
        <v>Q3</v>
      </c>
      <c r="V985" t="str">
        <f t="shared" si="64"/>
        <v>Completed</v>
      </c>
    </row>
    <row r="986" spans="1:22" x14ac:dyDescent="0.3">
      <c r="A986" s="2">
        <v>985</v>
      </c>
      <c r="B986" s="1">
        <v>46642</v>
      </c>
      <c r="C986" s="2" t="s">
        <v>17</v>
      </c>
      <c r="D986">
        <v>2392</v>
      </c>
      <c r="E986">
        <v>3826</v>
      </c>
      <c r="F986">
        <v>3253</v>
      </c>
      <c r="G986">
        <v>4982</v>
      </c>
      <c r="H986">
        <v>2874</v>
      </c>
      <c r="I986">
        <v>0.51906225399999995</v>
      </c>
      <c r="J986">
        <v>2.4771246150000001</v>
      </c>
      <c r="K986">
        <v>1666</v>
      </c>
      <c r="L986">
        <v>3150</v>
      </c>
      <c r="M986" s="2">
        <v>1</v>
      </c>
      <c r="N986">
        <v>1.690795738</v>
      </c>
      <c r="O986">
        <v>0.87461412100000002</v>
      </c>
      <c r="P986" t="b">
        <v>0</v>
      </c>
      <c r="Q986">
        <v>0.46729354000000001</v>
      </c>
      <c r="R986" s="2">
        <v>1</v>
      </c>
      <c r="S986" s="2" t="str">
        <f t="shared" si="61"/>
        <v>Sep</v>
      </c>
      <c r="T986">
        <f t="shared" si="62"/>
        <v>2027</v>
      </c>
      <c r="U986" s="2" t="str">
        <f t="shared" si="63"/>
        <v>Q3</v>
      </c>
      <c r="V986" t="str">
        <f t="shared" si="64"/>
        <v>Completed</v>
      </c>
    </row>
    <row r="987" spans="1:22" x14ac:dyDescent="0.3">
      <c r="A987" s="2">
        <v>986</v>
      </c>
      <c r="B987" s="1">
        <v>46643</v>
      </c>
      <c r="C987" s="2" t="s">
        <v>18</v>
      </c>
      <c r="D987">
        <v>1608</v>
      </c>
      <c r="E987">
        <v>3771</v>
      </c>
      <c r="F987">
        <v>1846</v>
      </c>
      <c r="G987">
        <v>4819</v>
      </c>
      <c r="H987">
        <v>177</v>
      </c>
      <c r="I987">
        <v>0.71757623100000001</v>
      </c>
      <c r="J987">
        <v>2.2027952430000002</v>
      </c>
      <c r="K987">
        <v>2301</v>
      </c>
      <c r="L987">
        <v>2827</v>
      </c>
      <c r="M987" s="2">
        <v>5</v>
      </c>
      <c r="N987">
        <v>1.1382546419999999</v>
      </c>
      <c r="O987">
        <v>0.86716570800000004</v>
      </c>
      <c r="P987" t="b">
        <v>0</v>
      </c>
      <c r="Q987">
        <v>0.307031889</v>
      </c>
      <c r="R987" s="2">
        <v>1</v>
      </c>
      <c r="S987" s="2" t="str">
        <f t="shared" si="61"/>
        <v>Sep</v>
      </c>
      <c r="T987">
        <f t="shared" si="62"/>
        <v>2027</v>
      </c>
      <c r="U987" s="2" t="str">
        <f t="shared" si="63"/>
        <v>Q3</v>
      </c>
      <c r="V987" t="str">
        <f t="shared" si="64"/>
        <v>Completed</v>
      </c>
    </row>
    <row r="988" spans="1:22" x14ac:dyDescent="0.3">
      <c r="A988" s="2">
        <v>987</v>
      </c>
      <c r="B988" s="1">
        <v>46644</v>
      </c>
      <c r="C988" s="2" t="s">
        <v>16</v>
      </c>
      <c r="D988">
        <v>894</v>
      </c>
      <c r="E988">
        <v>3130</v>
      </c>
      <c r="F988">
        <v>1803</v>
      </c>
      <c r="G988">
        <v>571</v>
      </c>
      <c r="H988">
        <v>3255</v>
      </c>
      <c r="I988">
        <v>0.29821544100000003</v>
      </c>
      <c r="J988">
        <v>1.8473072070000001</v>
      </c>
      <c r="K988">
        <v>2728</v>
      </c>
      <c r="L988">
        <v>1151</v>
      </c>
      <c r="M988" s="2">
        <v>5</v>
      </c>
      <c r="N988">
        <v>1.086282505</v>
      </c>
      <c r="O988">
        <v>0.90173848499999998</v>
      </c>
      <c r="P988" t="b">
        <v>0</v>
      </c>
      <c r="Q988">
        <v>0.161079313</v>
      </c>
      <c r="R988" s="2">
        <v>1</v>
      </c>
      <c r="S988" s="2" t="str">
        <f t="shared" si="61"/>
        <v>Sep</v>
      </c>
      <c r="T988">
        <f t="shared" si="62"/>
        <v>2027</v>
      </c>
      <c r="U988" s="2" t="str">
        <f t="shared" si="63"/>
        <v>Q3</v>
      </c>
      <c r="V988" t="str">
        <f t="shared" si="64"/>
        <v>Completed</v>
      </c>
    </row>
    <row r="989" spans="1:22" x14ac:dyDescent="0.3">
      <c r="A989" s="2">
        <v>988</v>
      </c>
      <c r="B989" s="1">
        <v>46645</v>
      </c>
      <c r="C989" s="2" t="s">
        <v>18</v>
      </c>
      <c r="D989">
        <v>4325</v>
      </c>
      <c r="E989">
        <v>2499</v>
      </c>
      <c r="F989">
        <v>2628</v>
      </c>
      <c r="G989">
        <v>1484</v>
      </c>
      <c r="H989">
        <v>1990</v>
      </c>
      <c r="I989">
        <v>0.26895255400000001</v>
      </c>
      <c r="J989">
        <v>2.412399014</v>
      </c>
      <c r="K989">
        <v>2799</v>
      </c>
      <c r="L989">
        <v>2597</v>
      </c>
      <c r="M989" s="2">
        <v>2</v>
      </c>
      <c r="N989">
        <v>0.59996207999999995</v>
      </c>
      <c r="O989">
        <v>0.82767776299999996</v>
      </c>
      <c r="P989" t="b">
        <v>0</v>
      </c>
      <c r="Q989">
        <v>0.86242845499999998</v>
      </c>
      <c r="R989" s="2">
        <v>1</v>
      </c>
      <c r="S989" s="2" t="str">
        <f t="shared" si="61"/>
        <v>Sep</v>
      </c>
      <c r="T989">
        <f t="shared" si="62"/>
        <v>2027</v>
      </c>
      <c r="U989" s="2" t="str">
        <f t="shared" si="63"/>
        <v>Q3</v>
      </c>
      <c r="V989" t="str">
        <f t="shared" si="64"/>
        <v>Completed</v>
      </c>
    </row>
    <row r="990" spans="1:22" x14ac:dyDescent="0.3">
      <c r="A990" s="2">
        <v>989</v>
      </c>
      <c r="B990" s="1">
        <v>46646</v>
      </c>
      <c r="C990" s="2" t="s">
        <v>17</v>
      </c>
      <c r="D990">
        <v>4001</v>
      </c>
      <c r="E990">
        <v>4136</v>
      </c>
      <c r="F990">
        <v>1415</v>
      </c>
      <c r="G990">
        <v>1620</v>
      </c>
      <c r="H990">
        <v>1049</v>
      </c>
      <c r="I990">
        <v>0.227900624</v>
      </c>
      <c r="J990">
        <v>1.845017055</v>
      </c>
      <c r="K990">
        <v>2710</v>
      </c>
      <c r="L990">
        <v>2662</v>
      </c>
      <c r="M990" s="2">
        <v>5</v>
      </c>
      <c r="N990">
        <v>1.193685509</v>
      </c>
      <c r="O990">
        <v>0.90787294900000004</v>
      </c>
      <c r="P990" t="b">
        <v>0</v>
      </c>
      <c r="Q990">
        <v>0.79619787399999997</v>
      </c>
      <c r="R990" s="2">
        <v>1</v>
      </c>
      <c r="S990" s="2" t="str">
        <f t="shared" si="61"/>
        <v>Sep</v>
      </c>
      <c r="T990">
        <f t="shared" si="62"/>
        <v>2027</v>
      </c>
      <c r="U990" s="2" t="str">
        <f t="shared" si="63"/>
        <v>Q3</v>
      </c>
      <c r="V990" t="str">
        <f t="shared" si="64"/>
        <v>Completed</v>
      </c>
    </row>
    <row r="991" spans="1:22" x14ac:dyDescent="0.3">
      <c r="A991" s="2">
        <v>990</v>
      </c>
      <c r="B991" s="1">
        <v>46647</v>
      </c>
      <c r="C991" s="2" t="s">
        <v>17</v>
      </c>
      <c r="D991">
        <v>2801</v>
      </c>
      <c r="E991">
        <v>740</v>
      </c>
      <c r="F991">
        <v>1571</v>
      </c>
      <c r="G991">
        <v>1316</v>
      </c>
      <c r="H991">
        <v>1449</v>
      </c>
      <c r="I991">
        <v>0.41466378999999998</v>
      </c>
      <c r="J991">
        <v>1.992636045</v>
      </c>
      <c r="K991">
        <v>1897</v>
      </c>
      <c r="L991">
        <v>2568</v>
      </c>
      <c r="M991" s="2">
        <v>2</v>
      </c>
      <c r="N991">
        <v>1.7305168150000001</v>
      </c>
      <c r="O991">
        <v>0.87041318899999998</v>
      </c>
      <c r="P991" t="b">
        <v>0</v>
      </c>
      <c r="Q991">
        <v>0.55089942800000002</v>
      </c>
      <c r="R991" s="2">
        <v>1</v>
      </c>
      <c r="S991" s="2" t="str">
        <f t="shared" si="61"/>
        <v>Sep</v>
      </c>
      <c r="T991">
        <f t="shared" si="62"/>
        <v>2027</v>
      </c>
      <c r="U991" s="2" t="str">
        <f t="shared" si="63"/>
        <v>Q3</v>
      </c>
      <c r="V991" t="str">
        <f t="shared" si="64"/>
        <v>Completed</v>
      </c>
    </row>
    <row r="992" spans="1:22" x14ac:dyDescent="0.3">
      <c r="A992" s="2">
        <v>991</v>
      </c>
      <c r="B992" s="1">
        <v>46648</v>
      </c>
      <c r="C992" s="2" t="s">
        <v>16</v>
      </c>
      <c r="D992">
        <v>2770</v>
      </c>
      <c r="E992">
        <v>812</v>
      </c>
      <c r="F992">
        <v>1985</v>
      </c>
      <c r="G992">
        <v>3728</v>
      </c>
      <c r="H992">
        <v>501</v>
      </c>
      <c r="I992">
        <v>0.32996626200000001</v>
      </c>
      <c r="J992">
        <v>2.1285371020000001</v>
      </c>
      <c r="K992">
        <v>4934</v>
      </c>
      <c r="L992">
        <v>1864</v>
      </c>
      <c r="M992" s="2">
        <v>4</v>
      </c>
      <c r="N992">
        <v>0.88861811000000002</v>
      </c>
      <c r="O992">
        <v>0.90939070399999999</v>
      </c>
      <c r="P992" t="b">
        <v>0</v>
      </c>
      <c r="Q992">
        <v>0.54456255099999995</v>
      </c>
      <c r="R992" s="2">
        <v>1</v>
      </c>
      <c r="S992" s="2" t="str">
        <f t="shared" si="61"/>
        <v>Sep</v>
      </c>
      <c r="T992">
        <f t="shared" si="62"/>
        <v>2027</v>
      </c>
      <c r="U992" s="2" t="str">
        <f t="shared" si="63"/>
        <v>Q3</v>
      </c>
      <c r="V992" t="str">
        <f t="shared" si="64"/>
        <v>Completed</v>
      </c>
    </row>
    <row r="993" spans="1:22" x14ac:dyDescent="0.3">
      <c r="A993" s="2">
        <v>992</v>
      </c>
      <c r="B993" s="1">
        <v>46649</v>
      </c>
      <c r="C993" s="2" t="s">
        <v>16</v>
      </c>
      <c r="D993">
        <v>3403</v>
      </c>
      <c r="E993">
        <v>1018</v>
      </c>
      <c r="F993">
        <v>1828</v>
      </c>
      <c r="G993">
        <v>4287</v>
      </c>
      <c r="H993">
        <v>2180</v>
      </c>
      <c r="I993">
        <v>0.76868100699999997</v>
      </c>
      <c r="J993">
        <v>2.9080502460000002</v>
      </c>
      <c r="K993">
        <v>2348</v>
      </c>
      <c r="L993">
        <v>2854</v>
      </c>
      <c r="M993" s="2">
        <v>9</v>
      </c>
      <c r="N993">
        <v>1.6314892679999999</v>
      </c>
      <c r="O993">
        <v>0.97908408499999999</v>
      </c>
      <c r="P993" t="b">
        <v>0</v>
      </c>
      <c r="Q993">
        <v>0.67395748200000005</v>
      </c>
      <c r="R993" s="2">
        <v>1</v>
      </c>
      <c r="S993" s="2" t="str">
        <f t="shared" si="61"/>
        <v>Sep</v>
      </c>
      <c r="T993">
        <f t="shared" si="62"/>
        <v>2027</v>
      </c>
      <c r="U993" s="2" t="str">
        <f t="shared" si="63"/>
        <v>Q3</v>
      </c>
      <c r="V993" t="str">
        <f t="shared" si="64"/>
        <v>Completed</v>
      </c>
    </row>
    <row r="994" spans="1:22" x14ac:dyDescent="0.3">
      <c r="A994" s="2">
        <v>993</v>
      </c>
      <c r="B994" s="1">
        <v>46650</v>
      </c>
      <c r="C994" s="2" t="s">
        <v>17</v>
      </c>
      <c r="D994">
        <v>3354</v>
      </c>
      <c r="E994">
        <v>1022</v>
      </c>
      <c r="F994">
        <v>2745</v>
      </c>
      <c r="G994">
        <v>2765</v>
      </c>
      <c r="H994">
        <v>2464</v>
      </c>
      <c r="I994">
        <v>0.48362380999999999</v>
      </c>
      <c r="J994">
        <v>2.827448564</v>
      </c>
      <c r="K994">
        <v>1838</v>
      </c>
      <c r="L994">
        <v>205</v>
      </c>
      <c r="M994" s="2">
        <v>6</v>
      </c>
      <c r="N994">
        <v>1.5935481869999999</v>
      </c>
      <c r="O994">
        <v>0.992792699</v>
      </c>
      <c r="P994" t="b">
        <v>0</v>
      </c>
      <c r="Q994">
        <v>0.66394112800000005</v>
      </c>
      <c r="R994" s="2">
        <v>1</v>
      </c>
      <c r="S994" s="2" t="str">
        <f t="shared" si="61"/>
        <v>Sep</v>
      </c>
      <c r="T994">
        <f t="shared" si="62"/>
        <v>2027</v>
      </c>
      <c r="U994" s="2" t="str">
        <f t="shared" si="63"/>
        <v>Q3</v>
      </c>
      <c r="V994" t="str">
        <f t="shared" si="64"/>
        <v>Completed</v>
      </c>
    </row>
    <row r="995" spans="1:22" x14ac:dyDescent="0.3">
      <c r="A995" s="2">
        <v>994</v>
      </c>
      <c r="B995" s="1">
        <v>46651</v>
      </c>
      <c r="C995" s="2" t="s">
        <v>5</v>
      </c>
      <c r="D995">
        <v>107</v>
      </c>
      <c r="E995">
        <v>594</v>
      </c>
      <c r="F995">
        <v>1281</v>
      </c>
      <c r="G995">
        <v>428</v>
      </c>
      <c r="H995">
        <v>794</v>
      </c>
      <c r="I995">
        <v>0.41054101399999998</v>
      </c>
      <c r="J995">
        <v>2.9504270830000001</v>
      </c>
      <c r="K995">
        <v>123</v>
      </c>
      <c r="L995">
        <v>2435</v>
      </c>
      <c r="M995" s="2">
        <v>8</v>
      </c>
      <c r="N995">
        <v>1.174307583</v>
      </c>
      <c r="O995">
        <v>0.96531243099999997</v>
      </c>
      <c r="P995" t="b">
        <v>0</v>
      </c>
      <c r="Q995">
        <v>2.04415E-4</v>
      </c>
      <c r="R995" s="2">
        <v>1</v>
      </c>
      <c r="S995" s="2" t="str">
        <f t="shared" si="61"/>
        <v>Sep</v>
      </c>
      <c r="T995">
        <f t="shared" si="62"/>
        <v>2027</v>
      </c>
      <c r="U995" s="2" t="str">
        <f t="shared" si="63"/>
        <v>Q3</v>
      </c>
      <c r="V995" t="str">
        <f t="shared" si="64"/>
        <v>Completed</v>
      </c>
    </row>
    <row r="996" spans="1:22" x14ac:dyDescent="0.3">
      <c r="A996" s="2">
        <v>995</v>
      </c>
      <c r="B996" s="1">
        <v>46652</v>
      </c>
      <c r="C996" s="2" t="s">
        <v>5</v>
      </c>
      <c r="D996">
        <v>588</v>
      </c>
      <c r="E996">
        <v>760</v>
      </c>
      <c r="F996">
        <v>3754</v>
      </c>
      <c r="G996">
        <v>1178</v>
      </c>
      <c r="H996">
        <v>2434</v>
      </c>
      <c r="I996">
        <v>0.79360439400000005</v>
      </c>
      <c r="J996">
        <v>2.9276452740000001</v>
      </c>
      <c r="K996">
        <v>3047</v>
      </c>
      <c r="L996">
        <v>2235</v>
      </c>
      <c r="M996" s="2">
        <v>1</v>
      </c>
      <c r="N996">
        <v>0.82741779699999995</v>
      </c>
      <c r="O996">
        <v>0.84627446699999997</v>
      </c>
      <c r="P996" t="b">
        <v>0</v>
      </c>
      <c r="Q996">
        <v>9.8528209000000005E-2</v>
      </c>
      <c r="R996" s="2">
        <v>1</v>
      </c>
      <c r="S996" s="2" t="str">
        <f t="shared" si="61"/>
        <v>Sep</v>
      </c>
      <c r="T996">
        <f t="shared" si="62"/>
        <v>2027</v>
      </c>
      <c r="U996" s="2" t="str">
        <f t="shared" si="63"/>
        <v>Q3</v>
      </c>
      <c r="V996" t="str">
        <f t="shared" si="64"/>
        <v>Completed</v>
      </c>
    </row>
    <row r="997" spans="1:22" x14ac:dyDescent="0.3">
      <c r="A997" s="2">
        <v>996</v>
      </c>
      <c r="B997" s="1">
        <v>46653</v>
      </c>
      <c r="C997" s="2" t="s">
        <v>16</v>
      </c>
      <c r="D997">
        <v>2625</v>
      </c>
      <c r="E997">
        <v>2655</v>
      </c>
      <c r="F997">
        <v>2152</v>
      </c>
      <c r="G997">
        <v>3480</v>
      </c>
      <c r="H997">
        <v>3974</v>
      </c>
      <c r="I997">
        <v>0.57579355099999996</v>
      </c>
      <c r="J997">
        <v>1.225115519</v>
      </c>
      <c r="K997">
        <v>2240</v>
      </c>
      <c r="L997">
        <v>1176</v>
      </c>
      <c r="M997" s="2">
        <v>6</v>
      </c>
      <c r="N997">
        <v>0.57137565199999996</v>
      </c>
      <c r="O997">
        <v>0.86479694699999998</v>
      </c>
      <c r="P997" t="b">
        <v>0</v>
      </c>
      <c r="Q997">
        <v>0.51492232199999999</v>
      </c>
      <c r="R997" s="2">
        <v>0</v>
      </c>
      <c r="S997" s="2" t="str">
        <f t="shared" si="61"/>
        <v>Sep</v>
      </c>
      <c r="T997">
        <f t="shared" si="62"/>
        <v>2027</v>
      </c>
      <c r="U997" s="2" t="str">
        <f t="shared" si="63"/>
        <v>Q3</v>
      </c>
      <c r="V997" t="str">
        <f t="shared" si="64"/>
        <v>Completed</v>
      </c>
    </row>
    <row r="998" spans="1:22" x14ac:dyDescent="0.3">
      <c r="A998" s="2">
        <v>997</v>
      </c>
      <c r="B998" s="1">
        <v>46654</v>
      </c>
      <c r="C998" s="2" t="s">
        <v>16</v>
      </c>
      <c r="D998">
        <v>676</v>
      </c>
      <c r="E998">
        <v>1586</v>
      </c>
      <c r="F998">
        <v>472</v>
      </c>
      <c r="G998">
        <v>3363</v>
      </c>
      <c r="H998">
        <v>1952</v>
      </c>
      <c r="I998">
        <v>0.40642593599999999</v>
      </c>
      <c r="J998">
        <v>1.74268925</v>
      </c>
      <c r="K998">
        <v>3317</v>
      </c>
      <c r="L998">
        <v>1268</v>
      </c>
      <c r="M998" s="2">
        <v>5</v>
      </c>
      <c r="N998">
        <v>1.5354317479999999</v>
      </c>
      <c r="O998">
        <v>0.98574492499999999</v>
      </c>
      <c r="P998" t="b">
        <v>0</v>
      </c>
      <c r="Q998">
        <v>0.116516762</v>
      </c>
      <c r="R998" s="2">
        <v>1</v>
      </c>
      <c r="S998" s="2" t="str">
        <f t="shared" si="61"/>
        <v>Sep</v>
      </c>
      <c r="T998">
        <f t="shared" si="62"/>
        <v>2027</v>
      </c>
      <c r="U998" s="2" t="str">
        <f t="shared" si="63"/>
        <v>Q3</v>
      </c>
      <c r="V998" t="str">
        <f t="shared" si="64"/>
        <v>Failed</v>
      </c>
    </row>
    <row r="999" spans="1:22" x14ac:dyDescent="0.3">
      <c r="A999" s="2">
        <v>998</v>
      </c>
      <c r="B999" s="1">
        <v>46655</v>
      </c>
      <c r="C999" s="2" t="s">
        <v>5</v>
      </c>
      <c r="D999">
        <v>2758</v>
      </c>
      <c r="E999">
        <v>3624</v>
      </c>
      <c r="F999">
        <v>2787</v>
      </c>
      <c r="G999">
        <v>2702</v>
      </c>
      <c r="H999">
        <v>3778</v>
      </c>
      <c r="I999">
        <v>0.58581284</v>
      </c>
      <c r="J999">
        <v>2.290614573</v>
      </c>
      <c r="K999">
        <v>2494</v>
      </c>
      <c r="L999">
        <v>2574</v>
      </c>
      <c r="M999" s="2">
        <v>8</v>
      </c>
      <c r="N999">
        <v>1.4233792139999999</v>
      </c>
      <c r="O999">
        <v>0.89331408400000001</v>
      </c>
      <c r="P999" t="b">
        <v>0</v>
      </c>
      <c r="Q999">
        <v>0.54210956700000001</v>
      </c>
      <c r="R999" s="2">
        <v>1</v>
      </c>
      <c r="S999" s="2" t="str">
        <f t="shared" si="61"/>
        <v>Sep</v>
      </c>
      <c r="T999">
        <f t="shared" si="62"/>
        <v>2027</v>
      </c>
      <c r="U999" s="2" t="str">
        <f t="shared" si="63"/>
        <v>Q3</v>
      </c>
      <c r="V999" t="str">
        <f t="shared" si="64"/>
        <v>Completed</v>
      </c>
    </row>
    <row r="1000" spans="1:22" x14ac:dyDescent="0.3">
      <c r="A1000" s="2">
        <v>999</v>
      </c>
      <c r="B1000" s="1">
        <v>46656</v>
      </c>
      <c r="C1000" s="2" t="s">
        <v>18</v>
      </c>
      <c r="D1000">
        <v>796</v>
      </c>
      <c r="E1000">
        <v>2063</v>
      </c>
      <c r="F1000">
        <v>3203</v>
      </c>
      <c r="G1000">
        <v>3855</v>
      </c>
      <c r="H1000">
        <v>1266</v>
      </c>
      <c r="I1000">
        <v>0.24827081200000001</v>
      </c>
      <c r="J1000">
        <v>2.2296705349999999</v>
      </c>
      <c r="K1000">
        <v>4277</v>
      </c>
      <c r="L1000">
        <v>1354</v>
      </c>
      <c r="M1000" s="2">
        <v>9</v>
      </c>
      <c r="N1000">
        <v>1.166093362</v>
      </c>
      <c r="O1000">
        <v>0.84956298799999996</v>
      </c>
      <c r="P1000" t="b">
        <v>0</v>
      </c>
      <c r="Q1000">
        <v>0.14104660699999999</v>
      </c>
      <c r="R1000" s="2">
        <v>1</v>
      </c>
      <c r="S1000" s="2" t="str">
        <f t="shared" si="61"/>
        <v>Sep</v>
      </c>
      <c r="T1000">
        <f t="shared" si="62"/>
        <v>2027</v>
      </c>
      <c r="U1000" s="2" t="str">
        <f t="shared" si="63"/>
        <v>Q3</v>
      </c>
      <c r="V1000" t="str">
        <f t="shared" si="64"/>
        <v>Completed</v>
      </c>
    </row>
    <row r="1001" spans="1:22" x14ac:dyDescent="0.3">
      <c r="A1001" s="2">
        <v>1000</v>
      </c>
      <c r="B1001" s="1">
        <v>46657</v>
      </c>
      <c r="C1001" s="2" t="s">
        <v>17</v>
      </c>
      <c r="D1001">
        <v>3387</v>
      </c>
      <c r="E1001">
        <v>4041</v>
      </c>
      <c r="F1001">
        <v>2545</v>
      </c>
      <c r="G1001">
        <v>4521</v>
      </c>
      <c r="H1001">
        <v>831</v>
      </c>
      <c r="I1001">
        <v>0.40907817499999999</v>
      </c>
      <c r="J1001">
        <v>2.3535351859999998</v>
      </c>
      <c r="K1001">
        <v>1658</v>
      </c>
      <c r="L1001">
        <v>3848</v>
      </c>
      <c r="M1001" s="2">
        <v>3</v>
      </c>
      <c r="N1001">
        <v>1.696703659</v>
      </c>
      <c r="O1001">
        <v>0.82058616900000003</v>
      </c>
      <c r="P1001" t="b">
        <v>0</v>
      </c>
      <c r="Q1001">
        <v>0.67068683600000001</v>
      </c>
      <c r="R1001" s="2">
        <v>1</v>
      </c>
      <c r="S1001" s="2" t="str">
        <f t="shared" si="61"/>
        <v>Sep</v>
      </c>
      <c r="T1001">
        <f t="shared" si="62"/>
        <v>2027</v>
      </c>
      <c r="U1001" s="2" t="str">
        <f t="shared" si="63"/>
        <v>Q3</v>
      </c>
      <c r="V1001" t="str">
        <f t="shared" si="64"/>
        <v>Completed</v>
      </c>
    </row>
  </sheetData>
  <conditionalFormatting sqref="D2:D100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1">
    <dataValidation type="list" allowBlank="1" showInputMessage="1" showErrorMessage="1" sqref="V2:V1001" xr:uid="{A367A14F-BACF-4B2F-973E-A168A92E2FE6}">
      <formula1>"Completed,Pending,Failed"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3373-864C-4A9D-A5AB-9D2D229C3E22}">
  <sheetPr>
    <pageSetUpPr fitToPage="1"/>
  </sheetPr>
  <dimension ref="A1:G62"/>
  <sheetViews>
    <sheetView showGridLines="0" tabSelected="1" zoomScale="107" workbookViewId="0">
      <selection activeCell="D13" sqref="D13"/>
    </sheetView>
  </sheetViews>
  <sheetFormatPr defaultRowHeight="14.4" x14ac:dyDescent="0.3"/>
  <cols>
    <col min="2" max="2" width="39.77734375" customWidth="1"/>
    <col min="4" max="4" width="12.5546875" bestFit="1" customWidth="1"/>
    <col min="5" max="5" width="14.88671875" bestFit="1" customWidth="1"/>
    <col min="6" max="6" width="18" bestFit="1" customWidth="1"/>
    <col min="7" max="7" width="17.44140625" bestFit="1" customWidth="1"/>
  </cols>
  <sheetData>
    <row r="1" spans="1:7" ht="28.8" x14ac:dyDescent="0.3">
      <c r="A1" s="14" t="s">
        <v>20</v>
      </c>
      <c r="B1" s="9">
        <f>COUNT('accounting_data(Raw_data)'!A2:A1001)</f>
        <v>1000</v>
      </c>
      <c r="D1" s="11" t="s">
        <v>28</v>
      </c>
      <c r="E1" s="10" t="s">
        <v>33</v>
      </c>
      <c r="F1" s="10" t="s">
        <v>34</v>
      </c>
      <c r="G1" s="10" t="s">
        <v>35</v>
      </c>
    </row>
    <row r="2" spans="1:7" ht="28.8" x14ac:dyDescent="0.3">
      <c r="A2" s="14" t="s">
        <v>21</v>
      </c>
      <c r="B2" s="9">
        <f>COUNTBLANK('accounting_data(Raw_data)'!B2:B1001)</f>
        <v>0</v>
      </c>
      <c r="D2" s="12" t="s">
        <v>16</v>
      </c>
      <c r="E2" s="15">
        <v>656276</v>
      </c>
      <c r="F2" s="15">
        <v>516058</v>
      </c>
      <c r="G2" s="15">
        <v>551444</v>
      </c>
    </row>
    <row r="3" spans="1:7" ht="43.2" x14ac:dyDescent="0.3">
      <c r="A3" s="14" t="s">
        <v>22</v>
      </c>
      <c r="B3" s="9">
        <f>COUNTBLANK('accounting_data(Raw_data)'!C2:C1001)</f>
        <v>0</v>
      </c>
      <c r="D3" s="13" t="s">
        <v>30</v>
      </c>
      <c r="E3" s="15">
        <v>239432</v>
      </c>
      <c r="F3" s="15">
        <v>189420</v>
      </c>
      <c r="G3" s="15">
        <v>212132</v>
      </c>
    </row>
    <row r="4" spans="1:7" ht="43.2" x14ac:dyDescent="0.3">
      <c r="A4" s="14" t="s">
        <v>23</v>
      </c>
      <c r="B4" s="10">
        <f>COUNTBLANK('accounting_data(Raw_data)'!G2:G1001)</f>
        <v>0</v>
      </c>
      <c r="D4" s="16" t="s">
        <v>45</v>
      </c>
      <c r="E4" s="15">
        <v>68224</v>
      </c>
      <c r="F4" s="15">
        <v>43700</v>
      </c>
      <c r="G4" s="15">
        <v>54941</v>
      </c>
    </row>
    <row r="5" spans="1:7" x14ac:dyDescent="0.3">
      <c r="D5" s="16" t="s">
        <v>46</v>
      </c>
      <c r="E5" s="15">
        <v>44271</v>
      </c>
      <c r="F5" s="15">
        <v>33358</v>
      </c>
      <c r="G5" s="15">
        <v>35741</v>
      </c>
    </row>
    <row r="6" spans="1:7" x14ac:dyDescent="0.3">
      <c r="D6" s="16" t="s">
        <v>47</v>
      </c>
      <c r="E6" s="15">
        <v>58609</v>
      </c>
      <c r="F6" s="15">
        <v>54654</v>
      </c>
      <c r="G6" s="15">
        <v>59664</v>
      </c>
    </row>
    <row r="7" spans="1:7" x14ac:dyDescent="0.3">
      <c r="D7" s="16" t="s">
        <v>48</v>
      </c>
      <c r="E7" s="15">
        <v>68328</v>
      </c>
      <c r="F7" s="15">
        <v>57708</v>
      </c>
      <c r="G7" s="15">
        <v>61786</v>
      </c>
    </row>
    <row r="8" spans="1:7" x14ac:dyDescent="0.3">
      <c r="D8" s="13" t="s">
        <v>31</v>
      </c>
      <c r="E8" s="15">
        <v>240882</v>
      </c>
      <c r="F8" s="15">
        <v>177344</v>
      </c>
      <c r="G8" s="15">
        <v>192018</v>
      </c>
    </row>
    <row r="9" spans="1:7" x14ac:dyDescent="0.3">
      <c r="D9" s="16" t="s">
        <v>45</v>
      </c>
      <c r="E9" s="15">
        <v>64994</v>
      </c>
      <c r="F9" s="15">
        <v>54375</v>
      </c>
      <c r="G9" s="15">
        <v>58184</v>
      </c>
    </row>
    <row r="10" spans="1:7" x14ac:dyDescent="0.3">
      <c r="D10" s="16" t="s">
        <v>46</v>
      </c>
      <c r="E10" s="15">
        <v>63148</v>
      </c>
      <c r="F10" s="15">
        <v>55065</v>
      </c>
      <c r="G10" s="15">
        <v>54050</v>
      </c>
    </row>
    <row r="11" spans="1:7" x14ac:dyDescent="0.3">
      <c r="D11" s="16" t="s">
        <v>47</v>
      </c>
      <c r="E11" s="15">
        <v>58969</v>
      </c>
      <c r="F11" s="15">
        <v>29352</v>
      </c>
      <c r="G11" s="15">
        <v>45264</v>
      </c>
    </row>
    <row r="12" spans="1:7" x14ac:dyDescent="0.3">
      <c r="D12" s="16" t="s">
        <v>48</v>
      </c>
      <c r="E12" s="15">
        <v>53771</v>
      </c>
      <c r="F12" s="15">
        <v>38552</v>
      </c>
      <c r="G12" s="15">
        <v>34520</v>
      </c>
    </row>
    <row r="13" spans="1:7" x14ac:dyDescent="0.3">
      <c r="D13" s="13" t="s">
        <v>32</v>
      </c>
      <c r="E13" s="15">
        <v>175962</v>
      </c>
      <c r="F13" s="15">
        <v>149294</v>
      </c>
      <c r="G13" s="15">
        <v>147294</v>
      </c>
    </row>
    <row r="14" spans="1:7" x14ac:dyDescent="0.3">
      <c r="D14" s="16" t="s">
        <v>45</v>
      </c>
      <c r="E14" s="15">
        <v>56987</v>
      </c>
      <c r="F14" s="15">
        <v>39193</v>
      </c>
      <c r="G14" s="15">
        <v>35967</v>
      </c>
    </row>
    <row r="15" spans="1:7" x14ac:dyDescent="0.3">
      <c r="D15" s="16" t="s">
        <v>46</v>
      </c>
      <c r="E15" s="15">
        <v>59025</v>
      </c>
      <c r="F15" s="15">
        <v>49765</v>
      </c>
      <c r="G15" s="15">
        <v>59282</v>
      </c>
    </row>
    <row r="16" spans="1:7" x14ac:dyDescent="0.3">
      <c r="D16" s="16" t="s">
        <v>47</v>
      </c>
      <c r="E16" s="15">
        <v>59950</v>
      </c>
      <c r="F16" s="15">
        <v>60336</v>
      </c>
      <c r="G16" s="15">
        <v>52045</v>
      </c>
    </row>
    <row r="17" spans="4:7" x14ac:dyDescent="0.3">
      <c r="D17" s="12" t="s">
        <v>17</v>
      </c>
      <c r="E17" s="15">
        <v>693005</v>
      </c>
      <c r="F17" s="15">
        <v>533464</v>
      </c>
      <c r="G17" s="15">
        <v>564184</v>
      </c>
    </row>
    <row r="18" spans="4:7" x14ac:dyDescent="0.3">
      <c r="D18" s="13" t="s">
        <v>30</v>
      </c>
      <c r="E18" s="15">
        <v>252515</v>
      </c>
      <c r="F18" s="15">
        <v>167147</v>
      </c>
      <c r="G18" s="15">
        <v>201564</v>
      </c>
    </row>
    <row r="19" spans="4:7" x14ac:dyDescent="0.3">
      <c r="D19" s="16" t="s">
        <v>45</v>
      </c>
      <c r="E19" s="15">
        <v>56872</v>
      </c>
      <c r="F19" s="15">
        <v>31794</v>
      </c>
      <c r="G19" s="15">
        <v>40766</v>
      </c>
    </row>
    <row r="20" spans="4:7" x14ac:dyDescent="0.3">
      <c r="D20" s="16" t="s">
        <v>46</v>
      </c>
      <c r="E20" s="15">
        <v>78421</v>
      </c>
      <c r="F20" s="15">
        <v>45580</v>
      </c>
      <c r="G20" s="15">
        <v>62674</v>
      </c>
    </row>
    <row r="21" spans="4:7" x14ac:dyDescent="0.3">
      <c r="D21" s="16" t="s">
        <v>47</v>
      </c>
      <c r="E21" s="15">
        <v>50192</v>
      </c>
      <c r="F21" s="15">
        <v>38580</v>
      </c>
      <c r="G21" s="15">
        <v>40879</v>
      </c>
    </row>
    <row r="22" spans="4:7" x14ac:dyDescent="0.3">
      <c r="D22" s="16" t="s">
        <v>48</v>
      </c>
      <c r="E22" s="15">
        <v>67030</v>
      </c>
      <c r="F22" s="15">
        <v>51193</v>
      </c>
      <c r="G22" s="15">
        <v>57245</v>
      </c>
    </row>
    <row r="23" spans="4:7" x14ac:dyDescent="0.3">
      <c r="D23" s="13" t="s">
        <v>31</v>
      </c>
      <c r="E23" s="15">
        <v>270687</v>
      </c>
      <c r="F23" s="15">
        <v>227859</v>
      </c>
      <c r="G23" s="15">
        <v>224189</v>
      </c>
    </row>
    <row r="24" spans="4:7" x14ac:dyDescent="0.3">
      <c r="D24" s="16" t="s">
        <v>45</v>
      </c>
      <c r="E24" s="15">
        <v>69023</v>
      </c>
      <c r="F24" s="15">
        <v>49980</v>
      </c>
      <c r="G24" s="15">
        <v>60500</v>
      </c>
    </row>
    <row r="25" spans="4:7" x14ac:dyDescent="0.3">
      <c r="D25" s="16" t="s">
        <v>46</v>
      </c>
      <c r="E25" s="15">
        <v>52592</v>
      </c>
      <c r="F25" s="15">
        <v>38267</v>
      </c>
      <c r="G25" s="15">
        <v>39357</v>
      </c>
    </row>
    <row r="26" spans="4:7" x14ac:dyDescent="0.3">
      <c r="D26" s="16" t="s">
        <v>47</v>
      </c>
      <c r="E26" s="15">
        <v>74771</v>
      </c>
      <c r="F26" s="15">
        <v>76139</v>
      </c>
      <c r="G26" s="15">
        <v>66097</v>
      </c>
    </row>
    <row r="27" spans="4:7" x14ac:dyDescent="0.3">
      <c r="D27" s="16" t="s">
        <v>48</v>
      </c>
      <c r="E27" s="15">
        <v>74301</v>
      </c>
      <c r="F27" s="15">
        <v>63473</v>
      </c>
      <c r="G27" s="15">
        <v>58235</v>
      </c>
    </row>
    <row r="28" spans="4:7" x14ac:dyDescent="0.3">
      <c r="D28" s="13" t="s">
        <v>32</v>
      </c>
      <c r="E28" s="15">
        <v>169803</v>
      </c>
      <c r="F28" s="15">
        <v>138458</v>
      </c>
      <c r="G28" s="15">
        <v>138431</v>
      </c>
    </row>
    <row r="29" spans="4:7" x14ac:dyDescent="0.3">
      <c r="D29" s="16" t="s">
        <v>45</v>
      </c>
      <c r="E29" s="15">
        <v>44717</v>
      </c>
      <c r="F29" s="15">
        <v>37691</v>
      </c>
      <c r="G29" s="15">
        <v>41347</v>
      </c>
    </row>
    <row r="30" spans="4:7" x14ac:dyDescent="0.3">
      <c r="D30" s="16" t="s">
        <v>46</v>
      </c>
      <c r="E30" s="15">
        <v>52584</v>
      </c>
      <c r="F30" s="15">
        <v>49422</v>
      </c>
      <c r="G30" s="15">
        <v>47491</v>
      </c>
    </row>
    <row r="31" spans="4:7" x14ac:dyDescent="0.3">
      <c r="D31" s="16" t="s">
        <v>47</v>
      </c>
      <c r="E31" s="15">
        <v>72502</v>
      </c>
      <c r="F31" s="15">
        <v>51345</v>
      </c>
      <c r="G31" s="15">
        <v>49593</v>
      </c>
    </row>
    <row r="32" spans="4:7" x14ac:dyDescent="0.3">
      <c r="D32" s="12" t="s">
        <v>18</v>
      </c>
      <c r="E32" s="15">
        <v>664239</v>
      </c>
      <c r="F32" s="15">
        <v>530251</v>
      </c>
      <c r="G32" s="15">
        <v>508365</v>
      </c>
    </row>
    <row r="33" spans="4:7" x14ac:dyDescent="0.3">
      <c r="D33" s="13" t="s">
        <v>30</v>
      </c>
      <c r="E33" s="15">
        <v>242104</v>
      </c>
      <c r="F33" s="15">
        <v>174766</v>
      </c>
      <c r="G33" s="15">
        <v>177349</v>
      </c>
    </row>
    <row r="34" spans="4:7" x14ac:dyDescent="0.3">
      <c r="D34" s="16" t="s">
        <v>45</v>
      </c>
      <c r="E34" s="15">
        <v>43553</v>
      </c>
      <c r="F34" s="15">
        <v>28278</v>
      </c>
      <c r="G34" s="15">
        <v>32815</v>
      </c>
    </row>
    <row r="35" spans="4:7" x14ac:dyDescent="0.3">
      <c r="D35" s="16" t="s">
        <v>46</v>
      </c>
      <c r="E35" s="15">
        <v>66195</v>
      </c>
      <c r="F35" s="15">
        <v>36188</v>
      </c>
      <c r="G35" s="15">
        <v>44669</v>
      </c>
    </row>
    <row r="36" spans="4:7" x14ac:dyDescent="0.3">
      <c r="D36" s="16" t="s">
        <v>47</v>
      </c>
      <c r="E36" s="15">
        <v>73894</v>
      </c>
      <c r="F36" s="15">
        <v>60030</v>
      </c>
      <c r="G36" s="15">
        <v>49969</v>
      </c>
    </row>
    <row r="37" spans="4:7" x14ac:dyDescent="0.3">
      <c r="D37" s="16" t="s">
        <v>48</v>
      </c>
      <c r="E37" s="15">
        <v>58462</v>
      </c>
      <c r="F37" s="15">
        <v>50270</v>
      </c>
      <c r="G37" s="15">
        <v>49896</v>
      </c>
    </row>
    <row r="38" spans="4:7" x14ac:dyDescent="0.3">
      <c r="D38" s="13" t="s">
        <v>31</v>
      </c>
      <c r="E38" s="15">
        <v>223321</v>
      </c>
      <c r="F38" s="15">
        <v>194728</v>
      </c>
      <c r="G38" s="15">
        <v>185265</v>
      </c>
    </row>
    <row r="39" spans="4:7" x14ac:dyDescent="0.3">
      <c r="D39" s="16" t="s">
        <v>45</v>
      </c>
      <c r="E39" s="15">
        <v>51537</v>
      </c>
      <c r="F39" s="15">
        <v>38510</v>
      </c>
      <c r="G39" s="15">
        <v>38343</v>
      </c>
    </row>
    <row r="40" spans="4:7" x14ac:dyDescent="0.3">
      <c r="D40" s="16" t="s">
        <v>46</v>
      </c>
      <c r="E40" s="15">
        <v>74395</v>
      </c>
      <c r="F40" s="15">
        <v>61879</v>
      </c>
      <c r="G40" s="15">
        <v>56997</v>
      </c>
    </row>
    <row r="41" spans="4:7" x14ac:dyDescent="0.3">
      <c r="D41" s="16" t="s">
        <v>47</v>
      </c>
      <c r="E41" s="15">
        <v>33444</v>
      </c>
      <c r="F41" s="15">
        <v>35843</v>
      </c>
      <c r="G41" s="15">
        <v>34124</v>
      </c>
    </row>
    <row r="42" spans="4:7" x14ac:dyDescent="0.3">
      <c r="D42" s="16" t="s">
        <v>48</v>
      </c>
      <c r="E42" s="15">
        <v>63945</v>
      </c>
      <c r="F42" s="15">
        <v>58496</v>
      </c>
      <c r="G42" s="15">
        <v>55801</v>
      </c>
    </row>
    <row r="43" spans="4:7" x14ac:dyDescent="0.3">
      <c r="D43" s="13" t="s">
        <v>32</v>
      </c>
      <c r="E43" s="15">
        <v>198814</v>
      </c>
      <c r="F43" s="15">
        <v>160757</v>
      </c>
      <c r="G43" s="15">
        <v>145751</v>
      </c>
    </row>
    <row r="44" spans="4:7" x14ac:dyDescent="0.3">
      <c r="D44" s="16" t="s">
        <v>45</v>
      </c>
      <c r="E44" s="15">
        <v>102420</v>
      </c>
      <c r="F44" s="15">
        <v>67209</v>
      </c>
      <c r="G44" s="15">
        <v>62087</v>
      </c>
    </row>
    <row r="45" spans="4:7" x14ac:dyDescent="0.3">
      <c r="D45" s="16" t="s">
        <v>46</v>
      </c>
      <c r="E45" s="15">
        <v>54891</v>
      </c>
      <c r="F45" s="15">
        <v>53966</v>
      </c>
      <c r="G45" s="15">
        <v>44772</v>
      </c>
    </row>
    <row r="46" spans="4:7" x14ac:dyDescent="0.3">
      <c r="D46" s="16" t="s">
        <v>47</v>
      </c>
      <c r="E46" s="15">
        <v>41503</v>
      </c>
      <c r="F46" s="15">
        <v>39582</v>
      </c>
      <c r="G46" s="15">
        <v>38892</v>
      </c>
    </row>
    <row r="47" spans="4:7" x14ac:dyDescent="0.3">
      <c r="D47" s="12" t="s">
        <v>5</v>
      </c>
      <c r="E47" s="15">
        <v>597469</v>
      </c>
      <c r="F47" s="15">
        <v>446415</v>
      </c>
      <c r="G47" s="15">
        <v>490766</v>
      </c>
    </row>
    <row r="48" spans="4:7" x14ac:dyDescent="0.3">
      <c r="D48" s="13" t="s">
        <v>30</v>
      </c>
      <c r="E48" s="15">
        <v>230645</v>
      </c>
      <c r="F48" s="15">
        <v>183958</v>
      </c>
      <c r="G48" s="15">
        <v>183752</v>
      </c>
    </row>
    <row r="49" spans="4:7" x14ac:dyDescent="0.3">
      <c r="D49" s="16" t="s">
        <v>45</v>
      </c>
      <c r="E49" s="15">
        <v>86437</v>
      </c>
      <c r="F49" s="15">
        <v>82266</v>
      </c>
      <c r="G49" s="15">
        <v>64614</v>
      </c>
    </row>
    <row r="50" spans="4:7" x14ac:dyDescent="0.3">
      <c r="D50" s="16" t="s">
        <v>46</v>
      </c>
      <c r="E50" s="15">
        <v>65991</v>
      </c>
      <c r="F50" s="15">
        <v>36119</v>
      </c>
      <c r="G50" s="15">
        <v>44647</v>
      </c>
    </row>
    <row r="51" spans="4:7" x14ac:dyDescent="0.3">
      <c r="D51" s="16" t="s">
        <v>47</v>
      </c>
      <c r="E51" s="15">
        <v>53458</v>
      </c>
      <c r="F51" s="15">
        <v>38380</v>
      </c>
      <c r="G51" s="15">
        <v>45744</v>
      </c>
    </row>
    <row r="52" spans="4:7" x14ac:dyDescent="0.3">
      <c r="D52" s="16" t="s">
        <v>48</v>
      </c>
      <c r="E52" s="15">
        <v>24759</v>
      </c>
      <c r="F52" s="15">
        <v>27193</v>
      </c>
      <c r="G52" s="15">
        <v>28747</v>
      </c>
    </row>
    <row r="53" spans="4:7" x14ac:dyDescent="0.3">
      <c r="D53" s="13" t="s">
        <v>31</v>
      </c>
      <c r="E53" s="15">
        <v>212568</v>
      </c>
      <c r="F53" s="15">
        <v>170102</v>
      </c>
      <c r="G53" s="15">
        <v>185732</v>
      </c>
    </row>
    <row r="54" spans="4:7" x14ac:dyDescent="0.3">
      <c r="D54" s="16" t="s">
        <v>45</v>
      </c>
      <c r="E54" s="15">
        <v>43971</v>
      </c>
      <c r="F54" s="15">
        <v>35340</v>
      </c>
      <c r="G54" s="15">
        <v>41416</v>
      </c>
    </row>
    <row r="55" spans="4:7" x14ac:dyDescent="0.3">
      <c r="D55" s="16" t="s">
        <v>46</v>
      </c>
      <c r="E55" s="15">
        <v>58537</v>
      </c>
      <c r="F55" s="15">
        <v>42049</v>
      </c>
      <c r="G55" s="15">
        <v>35038</v>
      </c>
    </row>
    <row r="56" spans="4:7" x14ac:dyDescent="0.3">
      <c r="D56" s="16" t="s">
        <v>47</v>
      </c>
      <c r="E56" s="15">
        <v>43193</v>
      </c>
      <c r="F56" s="15">
        <v>52154</v>
      </c>
      <c r="G56" s="15">
        <v>58081</v>
      </c>
    </row>
    <row r="57" spans="4:7" x14ac:dyDescent="0.3">
      <c r="D57" s="16" t="s">
        <v>48</v>
      </c>
      <c r="E57" s="15">
        <v>66867</v>
      </c>
      <c r="F57" s="15">
        <v>40559</v>
      </c>
      <c r="G57" s="15">
        <v>51197</v>
      </c>
    </row>
    <row r="58" spans="4:7" x14ac:dyDescent="0.3">
      <c r="D58" s="13" t="s">
        <v>32</v>
      </c>
      <c r="E58" s="15">
        <v>154256</v>
      </c>
      <c r="F58" s="15">
        <v>92355</v>
      </c>
      <c r="G58" s="15">
        <v>121282</v>
      </c>
    </row>
    <row r="59" spans="4:7" x14ac:dyDescent="0.3">
      <c r="D59" s="16" t="s">
        <v>45</v>
      </c>
      <c r="E59" s="15">
        <v>55409</v>
      </c>
      <c r="F59" s="15">
        <v>28858</v>
      </c>
      <c r="G59" s="15">
        <v>45034</v>
      </c>
    </row>
    <row r="60" spans="4:7" x14ac:dyDescent="0.3">
      <c r="D60" s="16" t="s">
        <v>46</v>
      </c>
      <c r="E60" s="15">
        <v>45992</v>
      </c>
      <c r="F60" s="15">
        <v>29202</v>
      </c>
      <c r="G60" s="15">
        <v>34778</v>
      </c>
    </row>
    <row r="61" spans="4:7" x14ac:dyDescent="0.3">
      <c r="D61" s="16" t="s">
        <v>47</v>
      </c>
      <c r="E61" s="15">
        <v>52855</v>
      </c>
      <c r="F61" s="15">
        <v>34295</v>
      </c>
      <c r="G61" s="15">
        <v>41470</v>
      </c>
    </row>
    <row r="62" spans="4:7" x14ac:dyDescent="0.3">
      <c r="D62" s="12" t="s">
        <v>29</v>
      </c>
      <c r="E62" s="15">
        <v>2610989</v>
      </c>
      <c r="F62" s="15">
        <v>2026188</v>
      </c>
      <c r="G62" s="15">
        <v>2114759</v>
      </c>
    </row>
  </sheetData>
  <pageMargins left="0.7" right="0.7" top="0.75" bottom="0.75" header="0.3" footer="0.3"/>
  <pageSetup fitToWidth="2" fitToHeight="2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7C52-5437-449F-9210-C0CFBD3C4F23}">
  <dimension ref="B2:N10"/>
  <sheetViews>
    <sheetView showGridLines="0" view="pageBreakPreview" topLeftCell="B4" zoomScale="85" zoomScaleNormal="62" zoomScalePageLayoutView="58" workbookViewId="0">
      <selection activeCell="F19" sqref="F19"/>
    </sheetView>
  </sheetViews>
  <sheetFormatPr defaultRowHeight="14.4" x14ac:dyDescent="0.3"/>
  <cols>
    <col min="2" max="2" width="38" customWidth="1"/>
    <col min="3" max="3" width="29.88671875" customWidth="1"/>
    <col min="4" max="4" width="38.21875" customWidth="1"/>
    <col min="5" max="5" width="37.109375" customWidth="1"/>
    <col min="6" max="6" width="0.44140625" customWidth="1"/>
    <col min="7" max="7" width="0.6640625" customWidth="1"/>
    <col min="8" max="8" width="11.88671875" hidden="1" customWidth="1"/>
    <col min="9" max="9" width="1.6640625" customWidth="1"/>
    <col min="10" max="10" width="22.44140625" hidden="1" customWidth="1"/>
    <col min="11" max="14" width="8.88671875" hidden="1" customWidth="1"/>
  </cols>
  <sheetData>
    <row r="2" spans="2:12" ht="31.2" x14ac:dyDescent="0.6">
      <c r="B2" s="8" t="s">
        <v>36</v>
      </c>
      <c r="H2" s="3"/>
      <c r="I2" s="3"/>
      <c r="J2" s="3"/>
      <c r="K2" s="3"/>
      <c r="L2" s="3"/>
    </row>
    <row r="4" spans="2:12" x14ac:dyDescent="0.3">
      <c r="B4" s="7" t="s">
        <v>37</v>
      </c>
      <c r="D4" s="5" t="s">
        <v>38</v>
      </c>
      <c r="E4" s="4" t="s">
        <v>39</v>
      </c>
    </row>
    <row r="7" spans="2:12" ht="18" x14ac:dyDescent="0.35">
      <c r="D7" s="6" t="s">
        <v>44</v>
      </c>
    </row>
    <row r="8" spans="2:12" ht="18" x14ac:dyDescent="0.35">
      <c r="B8" s="6" t="s">
        <v>43</v>
      </c>
    </row>
    <row r="10" spans="2:12" ht="18" x14ac:dyDescent="0.35">
      <c r="C10" s="6" t="s">
        <v>40</v>
      </c>
    </row>
  </sheetData>
  <phoneticPr fontId="19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accounting_data(Raw_data)</vt:lpstr>
      <vt:lpstr>Analysis</vt:lpstr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Ravichandra Y</dc:creator>
  <cp:lastModifiedBy>Ravichandra Y</cp:lastModifiedBy>
  <cp:lastPrinted>2026-06-02T13:44:34Z</cp:lastPrinted>
  <dcterms:created xsi:type="dcterms:W3CDTF">2026-06-02T09:46:19Z</dcterms:created>
  <dcterms:modified xsi:type="dcterms:W3CDTF">2026-06-02T13:44:55Z</dcterms:modified>
</cp:coreProperties>
</file>